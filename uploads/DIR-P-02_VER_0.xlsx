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Y:\SAI\TEOLOYUCAN\1. CALIDAD\1.0 - CONTROL DOCUMENTAL\1 Manuales, Procedimientos e Instructivos\DIR\1 Procedimientos\DIR-P-02 Gestión de Riesgos\"/>
    </mc:Choice>
  </mc:AlternateContent>
  <xr:revisionPtr revIDLastSave="0" documentId="13_ncr:1_{862CEBF6-7BE3-4E69-88F3-461C873977CC}" xr6:coauthVersionLast="47" xr6:coauthVersionMax="47" xr10:uidLastSave="{00000000-0000-0000-0000-000000000000}"/>
  <bookViews>
    <workbookView xWindow="-120" yWindow="-120" windowWidth="29040" windowHeight="15840" tabRatio="837" xr2:uid="{00000000-000D-0000-FFFF-FFFF00000000}"/>
  </bookViews>
  <sheets>
    <sheet name="Formato FODA (2023)" sheetId="18" r:id="rId1"/>
    <sheet name="Expec y Nec de PInt" sheetId="5" state="hidden" r:id="rId2"/>
    <sheet name="Criterios" sheetId="7" state="hidden" r:id="rId3"/>
  </sheets>
  <definedNames>
    <definedName name="_xlnm.Print_Area" localSheetId="0">'Formato FODA (2023)'!$B$2:$G$28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25" i="5" l="1"/>
  <c r="T25" i="5" s="1"/>
  <c r="S24" i="5"/>
  <c r="U24" i="5" s="1"/>
  <c r="V25" i="5" l="1"/>
  <c r="U25" i="5"/>
  <c r="T24" i="5"/>
  <c r="V24" i="5"/>
  <c r="S28" i="5" l="1"/>
  <c r="U28" i="5" s="1"/>
  <c r="T28" i="5" l="1"/>
  <c r="V28" i="5"/>
  <c r="S34" i="5" l="1"/>
  <c r="S35" i="5"/>
  <c r="S26" i="5"/>
  <c r="S27" i="5"/>
  <c r="S29" i="5"/>
  <c r="S30" i="5"/>
  <c r="S31" i="5"/>
  <c r="S32" i="5"/>
  <c r="S33" i="5"/>
  <c r="S18" i="5"/>
  <c r="S19" i="5"/>
  <c r="S20" i="5"/>
  <c r="S21" i="5"/>
  <c r="S22" i="5"/>
  <c r="S23" i="5"/>
  <c r="S17" i="5"/>
  <c r="S13" i="5"/>
  <c r="S14" i="5"/>
  <c r="S15" i="5"/>
  <c r="S16" i="5"/>
  <c r="S12" i="5"/>
  <c r="V13" i="5" l="1"/>
  <c r="U13" i="5"/>
  <c r="T13" i="5"/>
  <c r="V22" i="5"/>
  <c r="U22" i="5"/>
  <c r="T22" i="5"/>
  <c r="V32" i="5"/>
  <c r="U32" i="5"/>
  <c r="T32" i="5"/>
  <c r="V21" i="5"/>
  <c r="U21" i="5"/>
  <c r="T21" i="5"/>
  <c r="V31" i="5"/>
  <c r="U31" i="5"/>
  <c r="T31" i="5"/>
  <c r="V20" i="5"/>
  <c r="U20" i="5"/>
  <c r="T20" i="5"/>
  <c r="V30" i="5"/>
  <c r="U30" i="5"/>
  <c r="T30" i="5"/>
  <c r="V26" i="5"/>
  <c r="U26" i="5"/>
  <c r="T26" i="5"/>
  <c r="V35" i="5"/>
  <c r="U35" i="5"/>
  <c r="T35" i="5"/>
  <c r="V17" i="5"/>
  <c r="U17" i="5"/>
  <c r="T17" i="5"/>
  <c r="V18" i="5"/>
  <c r="U18" i="5"/>
  <c r="T18" i="5"/>
  <c r="V16" i="5"/>
  <c r="U16" i="5"/>
  <c r="T16" i="5"/>
  <c r="V27" i="5"/>
  <c r="U27" i="5"/>
  <c r="T27" i="5"/>
  <c r="V15" i="5"/>
  <c r="U15" i="5"/>
  <c r="T15" i="5"/>
  <c r="V14" i="5"/>
  <c r="U14" i="5"/>
  <c r="T14" i="5"/>
  <c r="V23" i="5"/>
  <c r="U23" i="5"/>
  <c r="T23" i="5"/>
  <c r="V19" i="5"/>
  <c r="U19" i="5"/>
  <c r="T19" i="5"/>
  <c r="V33" i="5"/>
  <c r="U33" i="5"/>
  <c r="T33" i="5"/>
  <c r="V29" i="5"/>
  <c r="U29" i="5"/>
  <c r="T29" i="5"/>
  <c r="V34" i="5"/>
  <c r="U34" i="5"/>
  <c r="T34" i="5"/>
  <c r="T12" i="5"/>
  <c r="U12" i="5"/>
  <c r="V12" i="5"/>
</calcChain>
</file>

<file path=xl/sharedStrings.xml><?xml version="1.0" encoding="utf-8"?>
<sst xmlns="http://schemas.openxmlformats.org/spreadsheetml/2006/main" count="198" uniqueCount="172">
  <si>
    <t>Debilidades</t>
  </si>
  <si>
    <t>Fortalezas</t>
  </si>
  <si>
    <t>Oportunidades</t>
  </si>
  <si>
    <t>Amenazas</t>
  </si>
  <si>
    <t xml:space="preserve">Equipo Participante </t>
  </si>
  <si>
    <t>Nombre</t>
  </si>
  <si>
    <t>Area</t>
  </si>
  <si>
    <t>Puesto</t>
  </si>
  <si>
    <t>Parte Interesada</t>
  </si>
  <si>
    <t>Necesidades</t>
  </si>
  <si>
    <t>Expectativas</t>
  </si>
  <si>
    <t>Obligaciones a cumplir</t>
  </si>
  <si>
    <t>Observaciones</t>
  </si>
  <si>
    <t>Accionistas</t>
  </si>
  <si>
    <t>Incremento de Utilidades</t>
  </si>
  <si>
    <t>Mayor Participación en el mercado</t>
  </si>
  <si>
    <t>Aporte de capital</t>
  </si>
  <si>
    <t>Dirección</t>
  </si>
  <si>
    <t>Compromiso del equipo de trabajo</t>
  </si>
  <si>
    <t>Implementación de estrategias para el cumplimiento de Objetivos y metas</t>
  </si>
  <si>
    <t>Cumplimiento de objetivos y metas</t>
  </si>
  <si>
    <t>Disponibilidad de recursos</t>
  </si>
  <si>
    <t>Evaluación de resultados</t>
  </si>
  <si>
    <t>Toma de decisiones</t>
  </si>
  <si>
    <t>Sociedad</t>
  </si>
  <si>
    <t>Conservación del medio ambiente</t>
  </si>
  <si>
    <t>Seguridad</t>
  </si>
  <si>
    <t>La urbanización circunvecina puede crear sentimiento de inseguridad a su patrimonio</t>
  </si>
  <si>
    <t>Clientes</t>
  </si>
  <si>
    <t>Cumplimiento con requisitos</t>
  </si>
  <si>
    <t>Entregas a tiempo</t>
  </si>
  <si>
    <t>Precios competentes</t>
  </si>
  <si>
    <t>Superar expectativas</t>
  </si>
  <si>
    <t>Pago del producto a tiempo</t>
  </si>
  <si>
    <t>La fidelidad dependerá del cumplimiento con los requisitos y precio de venta</t>
  </si>
  <si>
    <t>Su crecimiento implica la posibilidad de la pérdida de clientes</t>
  </si>
  <si>
    <t>Personal</t>
  </si>
  <si>
    <t>Salud y seguridad</t>
  </si>
  <si>
    <t>Reconocimiento</t>
  </si>
  <si>
    <t>Prestaciones acorde a la ley</t>
  </si>
  <si>
    <t>Buen ambiente laboral</t>
  </si>
  <si>
    <t>Salario competitivo acorde a las responsabilidades</t>
  </si>
  <si>
    <t>Compromiso con su trabajo</t>
  </si>
  <si>
    <t>Cumplimiento con el reglamento</t>
  </si>
  <si>
    <t>Productividad</t>
  </si>
  <si>
    <t>El resultado positivo, dependerá del líder de la organización y de área.</t>
  </si>
  <si>
    <t>Asociaciones (FLADA, IMMAC)</t>
  </si>
  <si>
    <t>Gobierno</t>
  </si>
  <si>
    <t>Cumplimiento a la normatividad aplicable</t>
  </si>
  <si>
    <t>Pago de impuesto a tiempo</t>
  </si>
  <si>
    <t>Proveedores</t>
  </si>
  <si>
    <t>Relaciones a largo plazo</t>
  </si>
  <si>
    <t>Cumplimiento con los pagos a tiempo</t>
  </si>
  <si>
    <t>Entrega de producto a tiempo.</t>
  </si>
  <si>
    <t>Clasificación</t>
  </si>
  <si>
    <t>Nivel de Cumplimiento</t>
  </si>
  <si>
    <t>No se cumple (1)</t>
  </si>
  <si>
    <t>Bajo cumplimiento (2)</t>
  </si>
  <si>
    <t>En cumplimiento (3)</t>
  </si>
  <si>
    <t>Se supera cumplimiento (4)</t>
  </si>
  <si>
    <t>Puntaje obtenido</t>
  </si>
  <si>
    <t>ID Plan de acción</t>
  </si>
  <si>
    <t>Plan de acción propuesto</t>
  </si>
  <si>
    <t>Responsable/área</t>
  </si>
  <si>
    <t>Nivel</t>
  </si>
  <si>
    <t>Grado</t>
  </si>
  <si>
    <t>Improbable</t>
  </si>
  <si>
    <t>Nunca ha sucedido</t>
  </si>
  <si>
    <t>Poco Probable</t>
  </si>
  <si>
    <t>De 3 a 6 veces al año</t>
  </si>
  <si>
    <t>Altamente probable</t>
  </si>
  <si>
    <t>De 7 o mas veces al año</t>
  </si>
  <si>
    <t>CRITERIOS PARA LA EVALUACIÓN</t>
  </si>
  <si>
    <t>De 1 a 2 veces al año</t>
  </si>
  <si>
    <t>Probable</t>
  </si>
  <si>
    <t>Impacto a las partes interesadas</t>
  </si>
  <si>
    <t>Conformidad</t>
  </si>
  <si>
    <t>Leve</t>
  </si>
  <si>
    <t>Medio</t>
  </si>
  <si>
    <t>Grave</t>
  </si>
  <si>
    <t>Muy grave</t>
  </si>
  <si>
    <t>Captación de nuevos Clientes</t>
  </si>
  <si>
    <t>Acciones Inmeditas (0-3)</t>
  </si>
  <si>
    <t>Acciones a corto plazo (3- 6)</t>
  </si>
  <si>
    <r>
      <t>Sin Consecuencia (</t>
    </r>
    <r>
      <rPr>
        <b/>
        <sz val="10"/>
        <rFont val="Calibri"/>
        <family val="2"/>
      </rPr>
      <t>≥ 7</t>
    </r>
    <r>
      <rPr>
        <b/>
        <sz val="10"/>
        <rFont val="Arial"/>
        <family val="2"/>
      </rPr>
      <t>)</t>
    </r>
  </si>
  <si>
    <t>Juan Nolasco Miguel</t>
  </si>
  <si>
    <t>Gregorio Dolores Leal</t>
  </si>
  <si>
    <t>Edith Santiago Bustamante</t>
  </si>
  <si>
    <t>Braian Alan Bautista Hernández</t>
  </si>
  <si>
    <t>Juan Alberto Rivera Martínez</t>
  </si>
  <si>
    <t>Alejandro Espinosa Almaraz</t>
  </si>
  <si>
    <t>Tonalli Nolasco Palacios</t>
  </si>
  <si>
    <t>Daniel Sánchez Pineda</t>
  </si>
  <si>
    <t>José de Jesús Peláez Cruz</t>
  </si>
  <si>
    <t>Arturo García Flores</t>
  </si>
  <si>
    <t>José Luis Varela Pedraza</t>
  </si>
  <si>
    <t xml:space="preserve">Héctor Darío  Hernández Salinas </t>
  </si>
  <si>
    <t>Alejandro Cordero Nicolás</t>
  </si>
  <si>
    <t>Marcos Nolasco Miguel</t>
  </si>
  <si>
    <t>Guillermo Rafael García Hernández</t>
  </si>
  <si>
    <t>Ricardo Delgado Sánchez</t>
  </si>
  <si>
    <t>Samuel Sánchez Dominguez</t>
  </si>
  <si>
    <t>Juan Antonio Montiel Blas</t>
  </si>
  <si>
    <t>PCC</t>
  </si>
  <si>
    <t>SAI</t>
  </si>
  <si>
    <t>MPT</t>
  </si>
  <si>
    <t>GEM</t>
  </si>
  <si>
    <t>CHU Y CAP</t>
  </si>
  <si>
    <t>CPA</t>
  </si>
  <si>
    <t>PLA</t>
  </si>
  <si>
    <t>LAB</t>
  </si>
  <si>
    <t>PRO</t>
  </si>
  <si>
    <t>ING</t>
  </si>
  <si>
    <t>TRA</t>
  </si>
  <si>
    <t>SIS</t>
  </si>
  <si>
    <t>DIR</t>
  </si>
  <si>
    <t>Gerente de Planta</t>
  </si>
  <si>
    <t>Responsable de PCC</t>
  </si>
  <si>
    <t>Líder SAI</t>
  </si>
  <si>
    <t>Encargado de Calidad</t>
  </si>
  <si>
    <t>Responsable de Gestión Empresarial</t>
  </si>
  <si>
    <t>Resposable de Capital  Humano y Capacitación</t>
  </si>
  <si>
    <t>Resposnble de Compras</t>
  </si>
  <si>
    <t xml:space="preserve">Encargado de Planeación </t>
  </si>
  <si>
    <t>Responsable de Laboratorio</t>
  </si>
  <si>
    <t>Responsable de I&amp;D</t>
  </si>
  <si>
    <t>Responsable de Producción</t>
  </si>
  <si>
    <t>Encargado de Producción</t>
  </si>
  <si>
    <t>Responsable de Ingeniería</t>
  </si>
  <si>
    <t>Ingeniería Básica</t>
  </si>
  <si>
    <t>Responsable de Trasporte</t>
  </si>
  <si>
    <t>Líder de Proyectos</t>
  </si>
  <si>
    <t>Médico de Planta</t>
  </si>
  <si>
    <t>Financiero</t>
  </si>
  <si>
    <t>Suspensión del servicio</t>
  </si>
  <si>
    <t>Imagen y reputación</t>
  </si>
  <si>
    <t>−</t>
  </si>
  <si>
    <t>Encragado de Sistemas</t>
  </si>
  <si>
    <t xml:space="preserve">Aspectos Internos </t>
  </si>
  <si>
    <t>Aspectos Externos</t>
  </si>
  <si>
    <t>SECCIÓN:</t>
  </si>
  <si>
    <t>IDENTIFICACIÓN:</t>
  </si>
  <si>
    <t>XXX-P-XX</t>
  </si>
  <si>
    <t>REVISIÓN:</t>
  </si>
  <si>
    <t>ELABORÓ:</t>
  </si>
  <si>
    <t>FECHA PARA ACTUALIZACIÓN</t>
  </si>
  <si>
    <t>ANÁLISIS DEL CONTEXTO</t>
  </si>
  <si>
    <t>SISTEMA DE ADMINISTRACIÓN INTEGRAL- EXPECTATIVAS Y NECESIDADES PARTES INTERESADAS</t>
  </si>
  <si>
    <t xml:space="preserve">Competencia </t>
  </si>
  <si>
    <t xml:space="preserve">Capacitación </t>
  </si>
  <si>
    <t>Realizar sus labores de manera adecuada</t>
  </si>
  <si>
    <t>Promoción de Puesto</t>
  </si>
  <si>
    <t>Salud económica</t>
  </si>
  <si>
    <t>Crecimiento en el mercado</t>
  </si>
  <si>
    <t>Superar a líder en el mercado</t>
  </si>
  <si>
    <t>Cumplimiento con los acuerdos establecidos</t>
  </si>
  <si>
    <t>seguimiento a las estrategias establecidas</t>
  </si>
  <si>
    <t>proceos de bajo impacto ambiental</t>
  </si>
  <si>
    <t>Seguimiento a programas ambientales</t>
  </si>
  <si>
    <t xml:space="preserve">Proceos bajo control </t>
  </si>
  <si>
    <t xml:space="preserve">Desarrollo de programas de Seguidad </t>
  </si>
  <si>
    <t>A pesar que la puntuación no establece un plan de acción , se tomarán acciones para disminuir el riesgo</t>
  </si>
  <si>
    <t>Comercialización</t>
  </si>
  <si>
    <t>COM-AR01-18</t>
  </si>
  <si>
    <t>Cumplimiento con especificaciones establecidas</t>
  </si>
  <si>
    <t>Pemex-Adquisición de MP</t>
  </si>
  <si>
    <t xml:space="preserve">Emisión de Permisos, y licencias </t>
  </si>
  <si>
    <t>FECHA DE ELABORACIÓN:</t>
  </si>
  <si>
    <t>Establecer estrategias para la….</t>
  </si>
  <si>
    <t>F1. DIR-P-02, REV. 00</t>
  </si>
  <si>
    <r>
      <t xml:space="preserve">SISTEMA DE ADMINISTRACIÓN INTEGRAL- </t>
    </r>
    <r>
      <rPr>
        <b/>
        <sz val="16"/>
        <color theme="1"/>
        <rFont val="Arial"/>
        <family val="2"/>
      </rPr>
      <t>ANÁLISIS DEL CONTEXTO DE LA EMPRESA</t>
    </r>
  </si>
  <si>
    <r>
      <rPr>
        <b/>
        <sz val="12"/>
        <color theme="1"/>
        <rFont val="Arial"/>
        <family val="2"/>
      </rPr>
      <t>Página:</t>
    </r>
    <r>
      <rPr>
        <sz val="12"/>
        <color theme="1"/>
        <rFont val="Arial"/>
        <family val="2"/>
      </rPr>
      <t xml:space="preserve"> 1 de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</si>
</sst>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8" tint="-0.499984740745262"/>
      <name val="Calibri"/>
      <family val="2"/>
      <scheme val="minor"/>
    </font>
    <font>
      <b/>
      <sz val="14"/>
      <color rgb="FF0D0D0D"/>
      <name val="Calibri"/>
      <family val="2"/>
      <scheme val="minor"/>
    </font>
    <font>
      <b/>
      <sz val="11"/>
      <color rgb="FF0D0D0D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8"/>
      <color theme="4" tint="-0.499984740745262"/>
      <name val="Calibri"/>
      <family val="2"/>
      <scheme val="minor"/>
    </font>
    <font>
      <b/>
      <sz val="10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4"/>
      <name val="Arial"/>
      <family val="2"/>
    </font>
    <font>
      <sz val="14"/>
      <name val="Calibri"/>
      <family val="2"/>
    </font>
    <font>
      <b/>
      <sz val="14"/>
      <color theme="4" tint="-0.249977111117893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1E7F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4" tint="-0.499984740745262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6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36">
    <xf numFmtId="0" fontId="0" fillId="0" borderId="0" xfId="0"/>
    <xf numFmtId="0" fontId="0" fillId="0" borderId="1" xfId="0" applyBorder="1"/>
    <xf numFmtId="0" fontId="2" fillId="4" borderId="1" xfId="0" applyFont="1" applyFill="1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vertical="center" wrapText="1"/>
    </xf>
    <xf numFmtId="0" fontId="8" fillId="0" borderId="0" xfId="3" applyFont="1"/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4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38" xfId="0" applyBorder="1" applyAlignment="1">
      <alignment horizontal="left" vertical="center" wrapText="1"/>
    </xf>
    <xf numFmtId="0" fontId="0" fillId="0" borderId="40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vertical="center" wrapText="1"/>
    </xf>
    <xf numFmtId="0" fontId="0" fillId="0" borderId="53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0" fillId="0" borderId="5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2" xfId="0" applyBorder="1" applyAlignment="1">
      <alignment vertical="top" wrapText="1"/>
    </xf>
    <xf numFmtId="0" fontId="0" fillId="0" borderId="53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54" xfId="0" applyBorder="1" applyAlignment="1">
      <alignment vertical="top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3" fillId="0" borderId="27" xfId="0" applyFont="1" applyBorder="1" applyAlignment="1">
      <alignment horizontal="center" vertical="center" wrapText="1"/>
    </xf>
    <xf numFmtId="0" fontId="15" fillId="11" borderId="1" xfId="3" applyFont="1" applyFill="1" applyBorder="1" applyAlignment="1">
      <alignment horizontal="center" vertical="center" wrapText="1" readingOrder="1"/>
    </xf>
    <xf numFmtId="0" fontId="17" fillId="14" borderId="1" xfId="3" applyFont="1" applyFill="1" applyBorder="1" applyAlignment="1">
      <alignment vertical="center" wrapText="1" readingOrder="1"/>
    </xf>
    <xf numFmtId="0" fontId="17" fillId="12" borderId="1" xfId="3" applyFont="1" applyFill="1" applyBorder="1" applyAlignment="1">
      <alignment horizontal="center" vertical="center" wrapText="1" readingOrder="1"/>
    </xf>
    <xf numFmtId="0" fontId="17" fillId="13" borderId="1" xfId="3" applyFont="1" applyFill="1" applyBorder="1" applyAlignment="1">
      <alignment vertical="center" wrapText="1" readingOrder="1"/>
    </xf>
    <xf numFmtId="0" fontId="15" fillId="11" borderId="1" xfId="3" applyFont="1" applyFill="1" applyBorder="1" applyAlignment="1">
      <alignment vertical="center" wrapText="1" readingOrder="1"/>
    </xf>
    <xf numFmtId="0" fontId="0" fillId="0" borderId="24" xfId="0" applyFill="1" applyBorder="1"/>
    <xf numFmtId="0" fontId="15" fillId="15" borderId="58" xfId="3" applyFont="1" applyFill="1" applyBorder="1" applyAlignment="1">
      <alignment horizontal="center" vertical="center" wrapText="1" readingOrder="1"/>
    </xf>
    <xf numFmtId="6" fontId="9" fillId="14" borderId="60" xfId="3" applyNumberFormat="1" applyFont="1" applyFill="1" applyBorder="1" applyAlignment="1">
      <alignment horizontal="center" vertical="center" wrapText="1" readingOrder="1"/>
    </xf>
    <xf numFmtId="0" fontId="0" fillId="0" borderId="22" xfId="0" applyBorder="1"/>
    <xf numFmtId="0" fontId="0" fillId="0" borderId="45" xfId="0" applyBorder="1"/>
    <xf numFmtId="0" fontId="0" fillId="0" borderId="44" xfId="0" applyBorder="1"/>
    <xf numFmtId="0" fontId="13" fillId="0" borderId="26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3" xfId="0" applyFont="1" applyBorder="1" applyAlignment="1">
      <alignment horizontal="center" vertical="center" wrapText="1"/>
    </xf>
    <xf numFmtId="0" fontId="0" fillId="0" borderId="57" xfId="0" applyBorder="1"/>
    <xf numFmtId="0" fontId="0" fillId="0" borderId="55" xfId="0" applyBorder="1"/>
    <xf numFmtId="0" fontId="16" fillId="12" borderId="59" xfId="3" applyFont="1" applyFill="1" applyBorder="1" applyAlignment="1">
      <alignment horizontal="center" vertical="center" wrapText="1" readingOrder="1"/>
    </xf>
    <xf numFmtId="0" fontId="16" fillId="12" borderId="60" xfId="3" applyFont="1" applyFill="1" applyBorder="1" applyAlignment="1">
      <alignment horizontal="center" vertical="center" wrapText="1" readingOrder="1"/>
    </xf>
    <xf numFmtId="0" fontId="9" fillId="14" borderId="59" xfId="3" applyFont="1" applyFill="1" applyBorder="1" applyAlignment="1">
      <alignment horizontal="center" vertical="center" wrapText="1" readingOrder="1"/>
    </xf>
    <xf numFmtId="0" fontId="9" fillId="14" borderId="60" xfId="3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8" fillId="0" borderId="67" xfId="0" applyFont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20" fillId="0" borderId="68" xfId="0" applyFont="1" applyBorder="1" applyAlignment="1">
      <alignment vertical="center" wrapText="1"/>
    </xf>
    <xf numFmtId="0" fontId="21" fillId="0" borderId="68" xfId="0" applyFont="1" applyBorder="1" applyAlignment="1">
      <alignment vertical="center" wrapText="1"/>
    </xf>
    <xf numFmtId="0" fontId="0" fillId="0" borderId="0" xfId="0" applyBorder="1" applyAlignment="1">
      <alignment vertical="top" wrapText="1"/>
    </xf>
    <xf numFmtId="0" fontId="20" fillId="0" borderId="0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10" fillId="0" borderId="0" xfId="0" applyFont="1" applyAlignment="1"/>
    <xf numFmtId="0" fontId="0" fillId="0" borderId="69" xfId="0" applyBorder="1" applyAlignment="1">
      <alignment horizontal="center"/>
    </xf>
    <xf numFmtId="0" fontId="21" fillId="0" borderId="18" xfId="0" applyFont="1" applyBorder="1" applyAlignment="1">
      <alignment vertical="center" wrapText="1"/>
    </xf>
    <xf numFmtId="0" fontId="21" fillId="0" borderId="64" xfId="0" applyFont="1" applyBorder="1" applyAlignment="1">
      <alignment vertical="center" wrapText="1"/>
    </xf>
    <xf numFmtId="0" fontId="21" fillId="0" borderId="6" xfId="0" applyFont="1" applyBorder="1" applyAlignment="1">
      <alignment vertical="center" wrapText="1"/>
    </xf>
    <xf numFmtId="0" fontId="21" fillId="0" borderId="19" xfId="0" applyFont="1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0" fontId="0" fillId="0" borderId="56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73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23" fillId="0" borderId="44" xfId="0" applyFont="1" applyBorder="1" applyAlignment="1">
      <alignment vertical="center" wrapText="1"/>
    </xf>
    <xf numFmtId="0" fontId="23" fillId="0" borderId="0" xfId="0" applyFont="1" applyBorder="1" applyAlignment="1">
      <alignment vertical="center" wrapText="1"/>
    </xf>
    <xf numFmtId="0" fontId="24" fillId="0" borderId="48" xfId="0" applyFont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13" fillId="9" borderId="27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/>
    </xf>
    <xf numFmtId="0" fontId="24" fillId="0" borderId="48" xfId="0" applyFont="1" applyFill="1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9" fillId="0" borderId="77" xfId="0" applyFont="1" applyBorder="1" applyAlignment="1">
      <alignment horizontal="left" wrapText="1" readingOrder="1"/>
    </xf>
    <xf numFmtId="0" fontId="29" fillId="0" borderId="78" xfId="0" applyFont="1" applyBorder="1" applyAlignment="1">
      <alignment horizontal="left" wrapText="1" readingOrder="1"/>
    </xf>
    <xf numFmtId="0" fontId="29" fillId="0" borderId="79" xfId="0" applyFont="1" applyBorder="1" applyAlignment="1">
      <alignment horizontal="left" wrapText="1" readingOrder="1"/>
    </xf>
    <xf numFmtId="0" fontId="28" fillId="0" borderId="80" xfId="0" applyFont="1" applyBorder="1" applyAlignment="1">
      <alignment wrapText="1"/>
    </xf>
    <xf numFmtId="0" fontId="29" fillId="0" borderId="80" xfId="0" applyFont="1" applyBorder="1" applyAlignment="1">
      <alignment horizontal="left" wrapText="1" readingOrder="1"/>
    </xf>
    <xf numFmtId="0" fontId="29" fillId="0" borderId="81" xfId="0" applyFont="1" applyBorder="1" applyAlignment="1">
      <alignment horizontal="left" wrapText="1" readingOrder="1"/>
    </xf>
    <xf numFmtId="0" fontId="29" fillId="0" borderId="24" xfId="0" applyFont="1" applyBorder="1" applyAlignment="1">
      <alignment horizontal="left" wrapText="1" readingOrder="1"/>
    </xf>
    <xf numFmtId="0" fontId="29" fillId="0" borderId="82" xfId="0" applyFont="1" applyBorder="1" applyAlignment="1">
      <alignment horizontal="left" wrapText="1" readingOrder="1"/>
    </xf>
    <xf numFmtId="0" fontId="29" fillId="0" borderId="83" xfId="0" applyFont="1" applyBorder="1" applyAlignment="1">
      <alignment horizontal="left" wrapText="1" readingOrder="1"/>
    </xf>
    <xf numFmtId="0" fontId="29" fillId="0" borderId="79" xfId="0" applyFont="1" applyBorder="1" applyAlignment="1">
      <alignment horizontal="center" wrapText="1" readingOrder="1"/>
    </xf>
    <xf numFmtId="0" fontId="29" fillId="0" borderId="23" xfId="0" applyFont="1" applyBorder="1" applyAlignment="1">
      <alignment horizontal="left" wrapText="1" readingOrder="1"/>
    </xf>
    <xf numFmtId="0" fontId="29" fillId="0" borderId="24" xfId="0" applyFont="1" applyBorder="1" applyAlignment="1">
      <alignment horizontal="center" wrapText="1" readingOrder="1"/>
    </xf>
    <xf numFmtId="0" fontId="29" fillId="0" borderId="25" xfId="0" applyFont="1" applyBorder="1" applyAlignment="1">
      <alignment horizontal="left" wrapText="1" readingOrder="1"/>
    </xf>
    <xf numFmtId="0" fontId="30" fillId="0" borderId="78" xfId="0" applyFont="1" applyBorder="1" applyAlignment="1">
      <alignment horizontal="left" wrapText="1" readingOrder="1"/>
    </xf>
    <xf numFmtId="0" fontId="19" fillId="0" borderId="68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25" fillId="0" borderId="69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0" fillId="0" borderId="2" xfId="0" applyBorder="1"/>
    <xf numFmtId="0" fontId="18" fillId="0" borderId="0" xfId="0" applyFont="1" applyBorder="1" applyAlignment="1">
      <alignment horizontal="right" vertical="center" wrapText="1"/>
    </xf>
    <xf numFmtId="0" fontId="25" fillId="0" borderId="2" xfId="0" applyFont="1" applyBorder="1" applyAlignment="1">
      <alignment vertical="center" wrapText="1"/>
    </xf>
    <xf numFmtId="49" fontId="25" fillId="0" borderId="69" xfId="0" applyNumberFormat="1" applyFont="1" applyBorder="1" applyAlignment="1">
      <alignment horizontal="center" vertical="center" wrapText="1"/>
    </xf>
    <xf numFmtId="0" fontId="25" fillId="0" borderId="68" xfId="0" applyFont="1" applyBorder="1" applyAlignment="1">
      <alignment vertical="center" wrapText="1"/>
    </xf>
    <xf numFmtId="15" fontId="18" fillId="0" borderId="2" xfId="0" applyNumberFormat="1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/>
    </xf>
    <xf numFmtId="0" fontId="3" fillId="3" borderId="50" xfId="0" applyFont="1" applyFill="1" applyBorder="1" applyAlignment="1">
      <alignment horizontal="center"/>
    </xf>
    <xf numFmtId="0" fontId="3" fillId="3" borderId="65" xfId="0" applyFont="1" applyFill="1" applyBorder="1" applyAlignment="1">
      <alignment horizontal="center"/>
    </xf>
    <xf numFmtId="0" fontId="3" fillId="3" borderId="66" xfId="0" applyFont="1" applyFill="1" applyBorder="1" applyAlignment="1">
      <alignment horizontal="center"/>
    </xf>
    <xf numFmtId="0" fontId="19" fillId="0" borderId="3" xfId="0" applyFont="1" applyBorder="1" applyAlignment="1">
      <alignment horizontal="center" vertical="center" wrapText="1"/>
    </xf>
    <xf numFmtId="0" fontId="27" fillId="17" borderId="5" xfId="0" applyFont="1" applyFill="1" applyBorder="1" applyAlignment="1">
      <alignment horizontal="center" vertical="center"/>
    </xf>
    <xf numFmtId="0" fontId="27" fillId="17" borderId="7" xfId="0" applyFont="1" applyFill="1" applyBorder="1" applyAlignment="1">
      <alignment horizontal="center" vertical="center"/>
    </xf>
    <xf numFmtId="0" fontId="27" fillId="9" borderId="5" xfId="0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/>
    </xf>
    <xf numFmtId="0" fontId="27" fillId="6" borderId="76" xfId="0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0" fontId="27" fillId="18" borderId="76" xfId="0" applyFont="1" applyFill="1" applyBorder="1" applyAlignment="1">
      <alignment horizontal="center" vertical="center"/>
    </xf>
    <xf numFmtId="0" fontId="27" fillId="18" borderId="7" xfId="0" applyFont="1" applyFill="1" applyBorder="1" applyAlignment="1">
      <alignment horizontal="center" vertical="center"/>
    </xf>
    <xf numFmtId="0" fontId="16" fillId="16" borderId="59" xfId="3" applyFont="1" applyFill="1" applyBorder="1" applyAlignment="1">
      <alignment horizontal="center" vertical="center" wrapText="1" readingOrder="1"/>
    </xf>
    <xf numFmtId="0" fontId="16" fillId="16" borderId="60" xfId="3" applyFont="1" applyFill="1" applyBorder="1" applyAlignment="1">
      <alignment horizontal="center" vertical="center" wrapText="1" readingOrder="1"/>
    </xf>
    <xf numFmtId="0" fontId="9" fillId="14" borderId="59" xfId="3" applyFont="1" applyFill="1" applyBorder="1" applyAlignment="1">
      <alignment horizontal="center" vertical="center" wrapText="1" readingOrder="1"/>
    </xf>
    <xf numFmtId="0" fontId="9" fillId="14" borderId="60" xfId="3" applyFont="1" applyFill="1" applyBorder="1" applyAlignment="1">
      <alignment horizontal="center" vertical="center" wrapText="1" readingOrder="1"/>
    </xf>
    <xf numFmtId="15" fontId="21" fillId="0" borderId="17" xfId="0" applyNumberFormat="1" applyFont="1" applyBorder="1" applyAlignment="1">
      <alignment horizontal="center" vertical="center" wrapText="1"/>
    </xf>
    <xf numFmtId="15" fontId="21" fillId="0" borderId="50" xfId="0" applyNumberFormat="1" applyFont="1" applyBorder="1" applyAlignment="1">
      <alignment horizontal="center" vertical="center" wrapText="1"/>
    </xf>
    <xf numFmtId="15" fontId="21" fillId="0" borderId="3" xfId="0" applyNumberFormat="1" applyFont="1" applyBorder="1" applyAlignment="1">
      <alignment horizontal="center" vertical="center" wrapText="1"/>
    </xf>
    <xf numFmtId="0" fontId="20" fillId="0" borderId="70" xfId="0" applyFont="1" applyBorder="1" applyAlignment="1">
      <alignment vertical="center" wrapText="1"/>
    </xf>
    <xf numFmtId="0" fontId="20" fillId="0" borderId="71" xfId="0" applyFont="1" applyBorder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9" fillId="0" borderId="72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6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5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8" fillId="8" borderId="36" xfId="0" applyFont="1" applyFill="1" applyBorder="1" applyAlignment="1">
      <alignment horizontal="center" vertical="center" textRotation="90" wrapText="1" readingOrder="1"/>
    </xf>
    <xf numFmtId="0" fontId="8" fillId="6" borderId="21" xfId="0" applyFont="1" applyFill="1" applyBorder="1" applyAlignment="1">
      <alignment horizontal="center" vertical="center" textRotation="90" wrapText="1" readingOrder="1"/>
    </xf>
    <xf numFmtId="0" fontId="8" fillId="10" borderId="37" xfId="0" applyFont="1" applyFill="1" applyBorder="1" applyAlignment="1">
      <alignment horizontal="center" vertical="center" textRotation="90" wrapText="1" readingOrder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textRotation="90" wrapText="1"/>
    </xf>
    <xf numFmtId="0" fontId="5" fillId="2" borderId="16" xfId="0" applyFont="1" applyFill="1" applyBorder="1" applyAlignment="1">
      <alignment horizontal="center" vertical="center" textRotation="90" wrapText="1"/>
    </xf>
    <xf numFmtId="0" fontId="5" fillId="2" borderId="5" xfId="0" applyFont="1" applyFill="1" applyBorder="1" applyAlignment="1">
      <alignment horizontal="center" vertical="center" textRotation="90" wrapText="1"/>
    </xf>
    <xf numFmtId="0" fontId="5" fillId="2" borderId="7" xfId="0" applyFont="1" applyFill="1" applyBorder="1" applyAlignment="1">
      <alignment horizontal="center" vertical="center" textRotation="90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7" borderId="9" xfId="3" applyFont="1" applyFill="1" applyBorder="1" applyAlignment="1">
      <alignment horizontal="center" vertical="center"/>
    </xf>
    <xf numFmtId="0" fontId="14" fillId="7" borderId="22" xfId="3" applyFont="1" applyFill="1" applyBorder="1" applyAlignment="1">
      <alignment horizontal="center" vertical="center"/>
    </xf>
    <xf numFmtId="0" fontId="14" fillId="7" borderId="10" xfId="3" applyFont="1" applyFill="1" applyBorder="1" applyAlignment="1">
      <alignment horizontal="center" vertical="center"/>
    </xf>
  </cellXfs>
  <cellStyles count="8">
    <cellStyle name="Normal" xfId="0" builtinId="0"/>
    <cellStyle name="Normal 2" xfId="2" xr:uid="{00000000-0005-0000-0000-000001000000}"/>
    <cellStyle name="Normal 2 2" xfId="4" xr:uid="{00000000-0005-0000-0000-000002000000}"/>
    <cellStyle name="Normal 2 2 2" xfId="7" xr:uid="{00000000-0005-0000-0000-000003000000}"/>
    <cellStyle name="Normal 2 3" xfId="5" xr:uid="{00000000-0005-0000-0000-000004000000}"/>
    <cellStyle name="Normal 2 4" xfId="6" xr:uid="{00000000-0005-0000-0000-000005000000}"/>
    <cellStyle name="Normal 3" xfId="3" xr:uid="{00000000-0005-0000-0000-000006000000}"/>
    <cellStyle name="Normal 4" xfId="1" xr:uid="{00000000-0005-0000-0000-000007000000}"/>
  </cellStyles>
  <dxfs count="0"/>
  <tableStyles count="0" defaultTableStyle="TableStyleMedium2" defaultPivotStyle="PivotStyleLight16"/>
  <colors>
    <mruColors>
      <color rgb="FF99CC00"/>
      <color rgb="FF5933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277100</xdr:colOff>
      <xdr:row>2</xdr:row>
      <xdr:rowOff>55420</xdr:rowOff>
    </xdr:from>
    <xdr:to>
      <xdr:col>2</xdr:col>
      <xdr:colOff>3156825</xdr:colOff>
      <xdr:row>2</xdr:row>
      <xdr:rowOff>650415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1C4B25-8BF0-FCA5-A3AC-3D59D84FE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6955" y="55420"/>
          <a:ext cx="2879725" cy="5949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130682</xdr:rowOff>
    </xdr:from>
    <xdr:to>
      <xdr:col>0</xdr:col>
      <xdr:colOff>1766454</xdr:colOff>
      <xdr:row>1</xdr:row>
      <xdr:rowOff>537882</xdr:rowOff>
    </xdr:to>
    <xdr:pic>
      <xdr:nvPicPr>
        <xdr:cNvPr id="3" name="Imagen 2" descr="log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682"/>
          <a:ext cx="1766454" cy="40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0FAF-95E9-4C5B-9A87-B233657CC9A7}">
  <sheetPr>
    <pageSetUpPr fitToPage="1"/>
  </sheetPr>
  <dimension ref="B2:F29"/>
  <sheetViews>
    <sheetView tabSelected="1" zoomScale="55" zoomScaleNormal="55" workbookViewId="0">
      <selection activeCell="D44" sqref="D44"/>
    </sheetView>
  </sheetViews>
  <sheetFormatPr baseColWidth="10" defaultRowHeight="15" x14ac:dyDescent="0.25"/>
  <cols>
    <col min="1" max="1" width="25.85546875" customWidth="1"/>
    <col min="2" max="2" width="11.140625" customWidth="1"/>
    <col min="3" max="3" width="53.42578125" customWidth="1"/>
    <col min="4" max="4" width="72.5703125" customWidth="1"/>
    <col min="5" max="5" width="54.140625" customWidth="1"/>
    <col min="6" max="6" width="77.140625" customWidth="1"/>
    <col min="7" max="7" width="9.28515625" customWidth="1"/>
    <col min="8" max="8" width="9.42578125" customWidth="1"/>
  </cols>
  <sheetData>
    <row r="2" spans="2:6" ht="15.75" thickBot="1" x14ac:dyDescent="0.3"/>
    <row r="3" spans="2:6" ht="57" customHeight="1" thickBot="1" x14ac:dyDescent="0.3">
      <c r="B3" s="158"/>
      <c r="C3" s="161"/>
      <c r="D3" s="167" t="s">
        <v>170</v>
      </c>
      <c r="E3" s="168"/>
      <c r="F3" s="174"/>
    </row>
    <row r="4" spans="2:6" ht="15.6" customHeight="1" thickBot="1" x14ac:dyDescent="0.3">
      <c r="B4" s="113"/>
      <c r="C4" s="157"/>
      <c r="D4" s="157"/>
      <c r="E4" s="157"/>
      <c r="F4" s="157"/>
    </row>
    <row r="5" spans="2:6" ht="20.45" customHeight="1" thickBot="1" x14ac:dyDescent="0.3">
      <c r="B5" s="169"/>
      <c r="C5" s="163" t="s">
        <v>143</v>
      </c>
      <c r="D5" s="164"/>
      <c r="E5" s="165" t="s">
        <v>167</v>
      </c>
      <c r="F5" s="166"/>
    </row>
    <row r="6" spans="2:6" ht="21" customHeight="1" thickBot="1" x14ac:dyDescent="0.3">
      <c r="B6" s="169"/>
      <c r="C6" s="163" t="s">
        <v>144</v>
      </c>
      <c r="D6" s="159"/>
      <c r="E6" s="165" t="s">
        <v>145</v>
      </c>
      <c r="F6" s="166"/>
    </row>
    <row r="7" spans="2:6" ht="15.75" x14ac:dyDescent="0.25">
      <c r="B7" s="112"/>
      <c r="C7" s="113"/>
      <c r="D7" s="114"/>
      <c r="E7" s="113"/>
      <c r="F7" s="162" t="s">
        <v>171</v>
      </c>
    </row>
    <row r="8" spans="2:6" ht="15.75" thickBot="1" x14ac:dyDescent="0.3">
      <c r="B8" s="3"/>
    </row>
    <row r="9" spans="2:6" ht="24" thickBot="1" x14ac:dyDescent="0.4">
      <c r="C9" s="170" t="s">
        <v>138</v>
      </c>
      <c r="D9" s="171"/>
      <c r="E9" s="172" t="s">
        <v>139</v>
      </c>
      <c r="F9" s="173"/>
    </row>
    <row r="10" spans="2:6" x14ac:dyDescent="0.25">
      <c r="C10" s="175" t="s">
        <v>1</v>
      </c>
      <c r="D10" s="177" t="s">
        <v>0</v>
      </c>
      <c r="E10" s="179" t="s">
        <v>2</v>
      </c>
      <c r="F10" s="181" t="s">
        <v>3</v>
      </c>
    </row>
    <row r="11" spans="2:6" ht="15.75" thickBot="1" x14ac:dyDescent="0.3">
      <c r="C11" s="176"/>
      <c r="D11" s="178"/>
      <c r="E11" s="180"/>
      <c r="F11" s="182"/>
    </row>
    <row r="12" spans="2:6" ht="18" customHeight="1" x14ac:dyDescent="0.3">
      <c r="B12" s="160"/>
      <c r="C12" s="153"/>
      <c r="D12" s="144"/>
      <c r="E12" s="143"/>
      <c r="F12" s="153"/>
    </row>
    <row r="13" spans="2:6" ht="37.35" customHeight="1" x14ac:dyDescent="0.3">
      <c r="B13" s="160"/>
      <c r="C13" s="149"/>
      <c r="D13" s="146"/>
      <c r="E13" s="152"/>
      <c r="F13" s="149"/>
    </row>
    <row r="14" spans="2:6" ht="18.75" x14ac:dyDescent="0.3">
      <c r="B14" s="160"/>
      <c r="C14" s="149"/>
      <c r="D14" s="147"/>
      <c r="E14" s="156"/>
      <c r="F14" s="149"/>
    </row>
    <row r="15" spans="2:6" ht="18.75" x14ac:dyDescent="0.3">
      <c r="B15" s="160"/>
      <c r="C15" s="149"/>
      <c r="D15" s="147"/>
      <c r="E15" s="150"/>
      <c r="F15" s="149"/>
    </row>
    <row r="16" spans="2:6" ht="39.6" customHeight="1" x14ac:dyDescent="0.3">
      <c r="B16" s="160"/>
      <c r="C16" s="149"/>
      <c r="D16" s="156"/>
      <c r="E16" s="145"/>
      <c r="F16" s="154"/>
    </row>
    <row r="17" spans="2:6" ht="18.75" x14ac:dyDescent="0.3">
      <c r="B17" s="160"/>
      <c r="C17" s="149"/>
      <c r="D17" s="144"/>
      <c r="E17" s="150"/>
      <c r="F17" s="149"/>
    </row>
    <row r="18" spans="2:6" ht="18.75" x14ac:dyDescent="0.3">
      <c r="B18" s="160"/>
      <c r="C18" s="149"/>
      <c r="D18" s="156"/>
      <c r="E18" s="145"/>
      <c r="F18" s="149"/>
    </row>
    <row r="19" spans="2:6" ht="18.75" x14ac:dyDescent="0.3">
      <c r="B19" s="160"/>
      <c r="C19" s="149"/>
      <c r="D19" s="144"/>
      <c r="E19" s="145"/>
      <c r="F19" s="149"/>
    </row>
    <row r="20" spans="2:6" ht="18.75" x14ac:dyDescent="0.3">
      <c r="B20" s="160"/>
      <c r="C20" s="149"/>
      <c r="D20" s="156"/>
      <c r="E20" s="145"/>
      <c r="F20" s="149"/>
    </row>
    <row r="21" spans="2:6" ht="18.75" x14ac:dyDescent="0.3">
      <c r="B21" s="160"/>
      <c r="C21" s="149"/>
      <c r="D21" s="144"/>
      <c r="E21" s="156"/>
      <c r="F21" s="149"/>
    </row>
    <row r="22" spans="2:6" ht="18.75" x14ac:dyDescent="0.3">
      <c r="B22" s="160"/>
      <c r="C22" s="149"/>
      <c r="D22" s="144"/>
      <c r="E22" s="145"/>
      <c r="F22" s="149"/>
    </row>
    <row r="23" spans="2:6" ht="18.75" x14ac:dyDescent="0.3">
      <c r="B23" s="160"/>
      <c r="C23" s="149"/>
      <c r="D23" s="144"/>
      <c r="E23" s="145"/>
      <c r="F23" s="149"/>
    </row>
    <row r="24" spans="2:6" ht="18.75" x14ac:dyDescent="0.3">
      <c r="B24" s="160"/>
      <c r="C24" s="149"/>
      <c r="D24" s="144"/>
      <c r="E24" s="145"/>
      <c r="F24" s="149"/>
    </row>
    <row r="25" spans="2:6" ht="18.75" x14ac:dyDescent="0.3">
      <c r="B25" s="160"/>
      <c r="C25" s="149"/>
      <c r="D25" s="144"/>
      <c r="E25" s="145"/>
      <c r="F25" s="149"/>
    </row>
    <row r="26" spans="2:6" ht="19.5" thickBot="1" x14ac:dyDescent="0.35">
      <c r="B26" s="160"/>
      <c r="C26" s="155"/>
      <c r="D26" s="148"/>
      <c r="E26" s="151"/>
      <c r="F26" s="155"/>
    </row>
    <row r="27" spans="2:6" x14ac:dyDescent="0.25">
      <c r="C27" t="s">
        <v>169</v>
      </c>
      <c r="F27" s="3"/>
    </row>
    <row r="28" spans="2:6" x14ac:dyDescent="0.25">
      <c r="F28" s="3"/>
    </row>
    <row r="29" spans="2:6" x14ac:dyDescent="0.25">
      <c r="F29" s="3"/>
    </row>
  </sheetData>
  <mergeCells count="8">
    <mergeCell ref="B5:B6"/>
    <mergeCell ref="C9:D9"/>
    <mergeCell ref="E9:F9"/>
    <mergeCell ref="D3:F3"/>
    <mergeCell ref="C10:C11"/>
    <mergeCell ref="D10:D11"/>
    <mergeCell ref="E10:E11"/>
    <mergeCell ref="F10:F11"/>
  </mergeCells>
  <pageMargins left="0.7" right="0.7" top="0.75" bottom="0.75" header="0.3" footer="0.3"/>
  <pageSetup scale="4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>
    <pageSetUpPr fitToPage="1"/>
  </sheetPr>
  <dimension ref="A1:Z69"/>
  <sheetViews>
    <sheetView workbookViewId="0"/>
  </sheetViews>
  <sheetFormatPr baseColWidth="10" defaultRowHeight="15" x14ac:dyDescent="0.25"/>
  <cols>
    <col min="1" max="1" width="29.42578125" customWidth="1"/>
    <col min="2" max="2" width="21" customWidth="1"/>
    <col min="3" max="3" width="23.140625" customWidth="1"/>
    <col min="4" max="4" width="9.42578125" customWidth="1"/>
    <col min="5" max="6" width="8.140625" customWidth="1"/>
    <col min="7" max="7" width="10.42578125" customWidth="1"/>
    <col min="8" max="8" width="21.140625" customWidth="1"/>
    <col min="9" max="10" width="7.140625" customWidth="1"/>
    <col min="11" max="11" width="6.85546875" customWidth="1"/>
    <col min="12" max="12" width="7.85546875" customWidth="1"/>
    <col min="13" max="13" width="24.140625" customWidth="1"/>
    <col min="14" max="14" width="10" customWidth="1"/>
    <col min="15" max="15" width="7.85546875" customWidth="1"/>
    <col min="16" max="16" width="8.85546875" customWidth="1"/>
    <col min="17" max="17" width="9.5703125" customWidth="1"/>
    <col min="18" max="18" width="27.5703125" customWidth="1"/>
    <col min="19" max="19" width="16.140625" style="56" customWidth="1"/>
    <col min="20" max="21" width="8" style="56" customWidth="1"/>
    <col min="22" max="22" width="8.42578125" style="56" customWidth="1"/>
    <col min="23" max="23" width="14.85546875" customWidth="1"/>
    <col min="24" max="24" width="23.140625" customWidth="1"/>
    <col min="25" max="25" width="24.85546875" customWidth="1"/>
    <col min="28" max="28" width="29.42578125" customWidth="1"/>
    <col min="29" max="29" width="22.140625" customWidth="1"/>
    <col min="30" max="30" width="21.85546875" customWidth="1"/>
  </cols>
  <sheetData>
    <row r="1" spans="1:26" ht="15.75" thickBot="1" x14ac:dyDescent="0.3"/>
    <row r="2" spans="1:26" ht="51" customHeight="1" thickTop="1" thickBot="1" x14ac:dyDescent="0.3">
      <c r="A2" s="108"/>
      <c r="B2" s="194" t="s">
        <v>147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6" ht="51" customHeight="1" thickTop="1" thickBot="1" x14ac:dyDescent="0.3">
      <c r="A3" s="109" t="s">
        <v>140</v>
      </c>
      <c r="B3" s="190" t="s">
        <v>141</v>
      </c>
      <c r="C3" s="191"/>
      <c r="D3" s="196" t="s">
        <v>142</v>
      </c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8"/>
    </row>
    <row r="4" spans="1:26" ht="51.75" customHeight="1" thickBot="1" x14ac:dyDescent="0.3">
      <c r="A4" s="192" t="s">
        <v>146</v>
      </c>
      <c r="B4" s="110" t="s">
        <v>143</v>
      </c>
      <c r="C4" s="111"/>
      <c r="D4" s="199" t="s">
        <v>167</v>
      </c>
      <c r="E4" s="200"/>
      <c r="F4" s="200"/>
      <c r="G4" s="201"/>
      <c r="H4" s="187">
        <v>43117</v>
      </c>
      <c r="I4" s="188"/>
      <c r="J4" s="188"/>
      <c r="K4" s="188"/>
      <c r="L4" s="189"/>
      <c r="M4" s="117"/>
      <c r="N4" s="118"/>
      <c r="O4" s="118"/>
      <c r="P4" s="118"/>
      <c r="Q4" s="118"/>
      <c r="R4" s="118"/>
      <c r="S4" s="119"/>
    </row>
    <row r="5" spans="1:26" ht="51.75" customHeight="1" thickBot="1" x14ac:dyDescent="0.3">
      <c r="A5" s="193"/>
      <c r="B5" s="110" t="s">
        <v>144</v>
      </c>
      <c r="C5" s="111"/>
      <c r="D5" s="202" t="s">
        <v>145</v>
      </c>
      <c r="E5" s="203"/>
      <c r="F5" s="203"/>
      <c r="G5" s="203"/>
      <c r="H5" s="187">
        <v>43482</v>
      </c>
      <c r="I5" s="188"/>
      <c r="J5" s="188"/>
      <c r="K5" s="188"/>
      <c r="L5" s="189"/>
      <c r="M5" s="120"/>
      <c r="N5" s="111"/>
      <c r="O5" s="111"/>
      <c r="P5" s="111"/>
      <c r="Q5" s="111"/>
      <c r="R5" s="111"/>
      <c r="S5" s="116"/>
    </row>
    <row r="6" spans="1:26" ht="23.25" x14ac:dyDescent="0.35"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</row>
    <row r="7" spans="1:26" x14ac:dyDescent="0.25">
      <c r="F7" s="56"/>
      <c r="G7" s="56"/>
      <c r="H7" s="56"/>
      <c r="I7" s="56"/>
      <c r="S7"/>
      <c r="T7"/>
      <c r="U7"/>
      <c r="V7"/>
    </row>
    <row r="8" spans="1:26" ht="15.75" thickBot="1" x14ac:dyDescent="0.3">
      <c r="A8" s="5"/>
    </row>
    <row r="9" spans="1:26" ht="15.75" thickBot="1" x14ac:dyDescent="0.3">
      <c r="A9" s="5"/>
      <c r="D9" s="204" t="s">
        <v>55</v>
      </c>
      <c r="E9" s="205"/>
      <c r="F9" s="205"/>
      <c r="G9" s="206"/>
      <c r="I9" s="204" t="s">
        <v>55</v>
      </c>
      <c r="J9" s="205"/>
      <c r="K9" s="205"/>
      <c r="L9" s="206"/>
      <c r="N9" s="204" t="s">
        <v>55</v>
      </c>
      <c r="O9" s="205"/>
      <c r="P9" s="205"/>
      <c r="Q9" s="206"/>
      <c r="T9" s="204" t="s">
        <v>54</v>
      </c>
      <c r="U9" s="205"/>
      <c r="V9" s="206"/>
    </row>
    <row r="10" spans="1:26" ht="47.25" customHeight="1" x14ac:dyDescent="0.25">
      <c r="B10" s="207" t="s">
        <v>8</v>
      </c>
      <c r="C10" s="212" t="s">
        <v>9</v>
      </c>
      <c r="D10" s="214" t="s">
        <v>56</v>
      </c>
      <c r="E10" s="214" t="s">
        <v>57</v>
      </c>
      <c r="F10" s="214" t="s">
        <v>58</v>
      </c>
      <c r="G10" s="216" t="s">
        <v>59</v>
      </c>
      <c r="H10" s="207" t="s">
        <v>10</v>
      </c>
      <c r="I10" s="214" t="s">
        <v>56</v>
      </c>
      <c r="J10" s="214" t="s">
        <v>57</v>
      </c>
      <c r="K10" s="214" t="s">
        <v>58</v>
      </c>
      <c r="L10" s="216" t="s">
        <v>59</v>
      </c>
      <c r="M10" s="218" t="s">
        <v>11</v>
      </c>
      <c r="N10" s="214" t="s">
        <v>56</v>
      </c>
      <c r="O10" s="214" t="s">
        <v>57</v>
      </c>
      <c r="P10" s="214" t="s">
        <v>58</v>
      </c>
      <c r="Q10" s="216" t="s">
        <v>59</v>
      </c>
      <c r="R10" s="212" t="s">
        <v>12</v>
      </c>
      <c r="S10" s="207" t="s">
        <v>60</v>
      </c>
      <c r="T10" s="209" t="s">
        <v>84</v>
      </c>
      <c r="U10" s="210" t="s">
        <v>83</v>
      </c>
      <c r="V10" s="211" t="s">
        <v>82</v>
      </c>
      <c r="W10" s="207" t="s">
        <v>61</v>
      </c>
      <c r="X10" s="207" t="s">
        <v>62</v>
      </c>
      <c r="Y10" s="207" t="s">
        <v>63</v>
      </c>
    </row>
    <row r="11" spans="1:26" ht="74.25" customHeight="1" thickBot="1" x14ac:dyDescent="0.3">
      <c r="B11" s="208"/>
      <c r="C11" s="213"/>
      <c r="D11" s="215"/>
      <c r="E11" s="215"/>
      <c r="F11" s="215"/>
      <c r="G11" s="217"/>
      <c r="H11" s="208"/>
      <c r="I11" s="215"/>
      <c r="J11" s="215"/>
      <c r="K11" s="215"/>
      <c r="L11" s="217"/>
      <c r="M11" s="219"/>
      <c r="N11" s="215"/>
      <c r="O11" s="215"/>
      <c r="P11" s="215"/>
      <c r="Q11" s="217"/>
      <c r="R11" s="213"/>
      <c r="S11" s="208"/>
      <c r="T11" s="209"/>
      <c r="U11" s="210"/>
      <c r="V11" s="211"/>
      <c r="W11" s="208"/>
      <c r="X11" s="208"/>
      <c r="Y11" s="208"/>
    </row>
    <row r="12" spans="1:26" ht="44.25" customHeight="1" thickBot="1" x14ac:dyDescent="0.3">
      <c r="B12" s="142" t="s">
        <v>13</v>
      </c>
      <c r="C12" s="23" t="s">
        <v>14</v>
      </c>
      <c r="D12" s="32"/>
      <c r="E12" s="8"/>
      <c r="F12" s="8">
        <v>3</v>
      </c>
      <c r="G12" s="33"/>
      <c r="H12" s="25" t="s">
        <v>15</v>
      </c>
      <c r="I12" s="32"/>
      <c r="J12" s="8"/>
      <c r="K12" s="8">
        <v>3</v>
      </c>
      <c r="L12" s="33"/>
      <c r="M12" s="43" t="s">
        <v>16</v>
      </c>
      <c r="N12" s="32"/>
      <c r="O12" s="40"/>
      <c r="P12" s="40">
        <v>3</v>
      </c>
      <c r="Q12" s="50"/>
      <c r="R12" s="43"/>
      <c r="S12" s="71">
        <f>SUM(D12:G12,I12:L12,N12:Q12)</f>
        <v>9</v>
      </c>
      <c r="T12" s="92" t="str">
        <f>IF($S12&gt;=7,"√"," ")</f>
        <v>√</v>
      </c>
      <c r="U12" s="80" t="str">
        <f>IF(AND(S12&gt;=4,S12&lt;=6),"√"," ")</f>
        <v xml:space="preserve"> </v>
      </c>
      <c r="V12" s="93" t="str">
        <f>IF(AND($S12&gt;=0,$S12&lt;=3),"√"," ")</f>
        <v xml:space="preserve"> </v>
      </c>
      <c r="W12" s="105" t="s">
        <v>136</v>
      </c>
      <c r="X12" s="106"/>
      <c r="Y12" s="107" t="s">
        <v>136</v>
      </c>
      <c r="Z12" s="3"/>
    </row>
    <row r="13" spans="1:26" ht="30.75" thickBot="1" x14ac:dyDescent="0.3">
      <c r="B13" s="221" t="s">
        <v>17</v>
      </c>
      <c r="C13" s="230" t="s">
        <v>18</v>
      </c>
      <c r="D13" s="125"/>
      <c r="E13" s="126"/>
      <c r="F13" s="126">
        <v>3</v>
      </c>
      <c r="G13" s="127"/>
      <c r="H13" s="232" t="s">
        <v>20</v>
      </c>
      <c r="I13" s="125"/>
      <c r="J13" s="126"/>
      <c r="K13" s="126">
        <v>3</v>
      </c>
      <c r="L13" s="127"/>
      <c r="M13" s="48" t="s">
        <v>21</v>
      </c>
      <c r="N13" s="38"/>
      <c r="O13" s="55"/>
      <c r="P13" s="55"/>
      <c r="Q13" s="49">
        <v>4</v>
      </c>
      <c r="R13" s="47"/>
      <c r="S13" s="71">
        <f t="shared" ref="S13:S35" si="0">SUM(D13:G13,I13:L13,N13:Q13)</f>
        <v>10</v>
      </c>
      <c r="T13" s="92" t="str">
        <f t="shared" ref="T13:T35" si="1">IF($S13&gt;=7,"√"," ")</f>
        <v>√</v>
      </c>
      <c r="U13" s="80" t="str">
        <f t="shared" ref="U13:U35" si="2">IF(AND(S13&gt;=4,S13&lt;=6),"√"," ")</f>
        <v xml:space="preserve"> </v>
      </c>
      <c r="V13" s="93" t="str">
        <f t="shared" ref="V13:V35" si="3">IF(AND($S13&gt;=0,$S13&lt;=3),"√"," ")</f>
        <v xml:space="preserve"> </v>
      </c>
      <c r="W13" s="91"/>
      <c r="X13" s="77"/>
      <c r="Y13" s="74"/>
      <c r="Z13" s="3"/>
    </row>
    <row r="14" spans="1:26" ht="24" thickBot="1" x14ac:dyDescent="0.3">
      <c r="B14" s="221"/>
      <c r="C14" s="231"/>
      <c r="D14" s="38"/>
      <c r="E14" s="15"/>
      <c r="F14" s="15">
        <v>3</v>
      </c>
      <c r="G14" s="39"/>
      <c r="H14" s="223"/>
      <c r="I14" s="38"/>
      <c r="J14" s="15"/>
      <c r="K14" s="15">
        <v>3</v>
      </c>
      <c r="L14" s="39"/>
      <c r="M14" s="46" t="s">
        <v>22</v>
      </c>
      <c r="N14" s="34"/>
      <c r="O14" s="41"/>
      <c r="P14" s="41">
        <v>3</v>
      </c>
      <c r="Q14" s="53"/>
      <c r="R14" s="44"/>
      <c r="S14" s="72">
        <f t="shared" si="0"/>
        <v>9</v>
      </c>
      <c r="T14" s="92" t="str">
        <f t="shared" si="1"/>
        <v>√</v>
      </c>
      <c r="U14" s="80" t="str">
        <f t="shared" si="2"/>
        <v xml:space="preserve"> </v>
      </c>
      <c r="V14" s="93" t="str">
        <f t="shared" si="3"/>
        <v xml:space="preserve"> </v>
      </c>
      <c r="W14" s="89"/>
      <c r="X14" s="78"/>
      <c r="Y14" s="75"/>
      <c r="Z14" s="3"/>
    </row>
    <row r="15" spans="1:26" ht="60.75" thickBot="1" x14ac:dyDescent="0.3">
      <c r="B15" s="221"/>
      <c r="C15" s="26" t="s">
        <v>19</v>
      </c>
      <c r="D15" s="34"/>
      <c r="E15" s="6"/>
      <c r="F15" s="6">
        <v>3</v>
      </c>
      <c r="G15" s="35"/>
      <c r="H15" s="26" t="s">
        <v>156</v>
      </c>
      <c r="I15" s="34"/>
      <c r="J15" s="6">
        <v>2</v>
      </c>
      <c r="K15" s="6"/>
      <c r="L15" s="35"/>
      <c r="M15" s="46" t="s">
        <v>23</v>
      </c>
      <c r="N15" s="34"/>
      <c r="O15" s="41"/>
      <c r="P15" s="41">
        <v>3</v>
      </c>
      <c r="Q15" s="53"/>
      <c r="R15" s="44"/>
      <c r="S15" s="72">
        <f t="shared" si="0"/>
        <v>8</v>
      </c>
      <c r="T15" s="92" t="str">
        <f t="shared" si="1"/>
        <v>√</v>
      </c>
      <c r="U15" s="80" t="str">
        <f t="shared" si="2"/>
        <v xml:space="preserve"> </v>
      </c>
      <c r="V15" s="93" t="str">
        <f t="shared" si="3"/>
        <v xml:space="preserve"> </v>
      </c>
      <c r="W15" s="89"/>
      <c r="X15" s="78"/>
      <c r="Y15" s="75"/>
      <c r="Z15" s="3"/>
    </row>
    <row r="16" spans="1:26" ht="24" thickBot="1" x14ac:dyDescent="0.3">
      <c r="B16" s="221"/>
      <c r="C16" s="57"/>
      <c r="D16" s="36"/>
      <c r="E16" s="13"/>
      <c r="F16" s="13"/>
      <c r="G16" s="37"/>
      <c r="H16" s="57"/>
      <c r="I16" s="62"/>
      <c r="J16" s="63"/>
      <c r="K16" s="63"/>
      <c r="L16" s="64"/>
      <c r="M16" s="61"/>
      <c r="N16" s="62"/>
      <c r="O16" s="65"/>
      <c r="P16" s="65"/>
      <c r="Q16" s="66"/>
      <c r="R16" s="61"/>
      <c r="S16" s="73">
        <f t="shared" si="0"/>
        <v>0</v>
      </c>
      <c r="T16" s="92" t="str">
        <f t="shared" si="1"/>
        <v xml:space="preserve"> </v>
      </c>
      <c r="U16" s="80" t="str">
        <f t="shared" si="2"/>
        <v xml:space="preserve"> </v>
      </c>
      <c r="V16" s="93" t="str">
        <f t="shared" si="3"/>
        <v>√</v>
      </c>
      <c r="W16" s="90"/>
      <c r="X16" s="79"/>
      <c r="Y16" s="76"/>
      <c r="Z16" s="3"/>
    </row>
    <row r="17" spans="2:26" ht="71.25" customHeight="1" thickBot="1" x14ac:dyDescent="0.3">
      <c r="B17" s="220" t="s">
        <v>24</v>
      </c>
      <c r="C17" s="25" t="s">
        <v>25</v>
      </c>
      <c r="D17" s="32"/>
      <c r="E17" s="8"/>
      <c r="F17" s="8">
        <v>3</v>
      </c>
      <c r="G17" s="33"/>
      <c r="H17" s="25" t="s">
        <v>157</v>
      </c>
      <c r="I17" s="32"/>
      <c r="J17" s="8"/>
      <c r="K17" s="8"/>
      <c r="L17" s="33">
        <v>4</v>
      </c>
      <c r="M17" s="43" t="s">
        <v>158</v>
      </c>
      <c r="N17" s="32"/>
      <c r="O17" s="40"/>
      <c r="P17" s="40">
        <v>3</v>
      </c>
      <c r="Q17" s="128"/>
      <c r="R17" s="43" t="s">
        <v>27</v>
      </c>
      <c r="S17" s="71">
        <f t="shared" si="0"/>
        <v>10</v>
      </c>
      <c r="T17" s="92" t="str">
        <f t="shared" si="1"/>
        <v>√</v>
      </c>
      <c r="U17" s="80" t="str">
        <f t="shared" si="2"/>
        <v xml:space="preserve"> </v>
      </c>
      <c r="V17" s="93" t="str">
        <f t="shared" si="3"/>
        <v xml:space="preserve"> </v>
      </c>
      <c r="W17" s="91"/>
      <c r="X17" s="77"/>
      <c r="Y17" s="74"/>
      <c r="Z17" s="3"/>
    </row>
    <row r="18" spans="2:26" ht="30.75" thickBot="1" x14ac:dyDescent="0.3">
      <c r="B18" s="222"/>
      <c r="C18" s="24" t="s">
        <v>26</v>
      </c>
      <c r="D18" s="36"/>
      <c r="E18" s="13"/>
      <c r="F18" s="13">
        <v>3</v>
      </c>
      <c r="G18" s="37"/>
      <c r="H18" s="24" t="s">
        <v>159</v>
      </c>
      <c r="I18" s="36"/>
      <c r="J18" s="13"/>
      <c r="K18" s="13"/>
      <c r="L18" s="37">
        <v>4</v>
      </c>
      <c r="M18" s="45" t="s">
        <v>160</v>
      </c>
      <c r="N18" s="36"/>
      <c r="O18" s="42"/>
      <c r="P18" s="42"/>
      <c r="Q18" s="54">
        <v>4</v>
      </c>
      <c r="R18" s="45"/>
      <c r="S18" s="73">
        <f t="shared" si="0"/>
        <v>11</v>
      </c>
      <c r="T18" s="92" t="str">
        <f t="shared" si="1"/>
        <v>√</v>
      </c>
      <c r="U18" s="80" t="str">
        <f t="shared" si="2"/>
        <v xml:space="preserve"> </v>
      </c>
      <c r="V18" s="93" t="str">
        <f t="shared" si="3"/>
        <v xml:space="preserve"> </v>
      </c>
      <c r="W18" s="90"/>
      <c r="X18" s="79"/>
      <c r="Y18" s="76"/>
      <c r="Z18" s="3"/>
    </row>
    <row r="19" spans="2:26" ht="30.75" thickBot="1" x14ac:dyDescent="0.3">
      <c r="B19" s="221" t="s">
        <v>28</v>
      </c>
      <c r="C19" s="28" t="s">
        <v>29</v>
      </c>
      <c r="D19" s="38"/>
      <c r="E19" s="15"/>
      <c r="F19" s="15">
        <v>3</v>
      </c>
      <c r="G19" s="39"/>
      <c r="H19" s="223" t="s">
        <v>32</v>
      </c>
      <c r="I19" s="38"/>
      <c r="J19" s="15"/>
      <c r="K19" s="15">
        <v>3</v>
      </c>
      <c r="L19" s="39"/>
      <c r="M19" s="227" t="s">
        <v>33</v>
      </c>
      <c r="N19" s="38"/>
      <c r="O19" s="55"/>
      <c r="P19" s="55">
        <v>3</v>
      </c>
      <c r="Q19" s="49"/>
      <c r="R19" s="227" t="s">
        <v>34</v>
      </c>
      <c r="S19" s="71">
        <f t="shared" si="0"/>
        <v>9</v>
      </c>
      <c r="T19" s="92" t="str">
        <f t="shared" si="1"/>
        <v>√</v>
      </c>
      <c r="U19" s="80" t="str">
        <f t="shared" si="2"/>
        <v xml:space="preserve"> </v>
      </c>
      <c r="V19" s="93" t="str">
        <f t="shared" si="3"/>
        <v xml:space="preserve"> </v>
      </c>
      <c r="W19" s="91"/>
      <c r="X19" s="77"/>
      <c r="Y19" s="74"/>
      <c r="Z19" s="3"/>
    </row>
    <row r="20" spans="2:26" ht="24" thickBot="1" x14ac:dyDescent="0.3">
      <c r="B20" s="221"/>
      <c r="C20" s="26" t="s">
        <v>30</v>
      </c>
      <c r="D20" s="34"/>
      <c r="E20" s="6"/>
      <c r="F20" s="6">
        <v>3</v>
      </c>
      <c r="G20" s="35"/>
      <c r="H20" s="224"/>
      <c r="I20" s="34"/>
      <c r="J20" s="6"/>
      <c r="K20" s="6">
        <v>3</v>
      </c>
      <c r="L20" s="35"/>
      <c r="M20" s="228"/>
      <c r="N20" s="34"/>
      <c r="O20" s="41"/>
      <c r="P20" s="41">
        <v>3</v>
      </c>
      <c r="Q20" s="53"/>
      <c r="R20" s="228"/>
      <c r="S20" s="72">
        <f t="shared" si="0"/>
        <v>9</v>
      </c>
      <c r="T20" s="92" t="str">
        <f t="shared" si="1"/>
        <v>√</v>
      </c>
      <c r="U20" s="80" t="str">
        <f t="shared" si="2"/>
        <v xml:space="preserve"> </v>
      </c>
      <c r="V20" s="93" t="str">
        <f t="shared" si="3"/>
        <v xml:space="preserve"> </v>
      </c>
      <c r="W20" s="89"/>
      <c r="X20" s="78"/>
      <c r="Y20" s="75"/>
      <c r="Z20" s="3"/>
    </row>
    <row r="21" spans="2:26" ht="24" thickBot="1" x14ac:dyDescent="0.3">
      <c r="B21" s="221"/>
      <c r="C21" s="57" t="s">
        <v>31</v>
      </c>
      <c r="D21" s="62"/>
      <c r="E21" s="63"/>
      <c r="F21" s="63">
        <v>3</v>
      </c>
      <c r="G21" s="64"/>
      <c r="H21" s="225"/>
      <c r="I21" s="62"/>
      <c r="J21" s="63"/>
      <c r="K21" s="63">
        <v>3</v>
      </c>
      <c r="L21" s="64"/>
      <c r="M21" s="229"/>
      <c r="N21" s="62"/>
      <c r="O21" s="65"/>
      <c r="P21" s="65">
        <v>3</v>
      </c>
      <c r="Q21" s="66"/>
      <c r="R21" s="229"/>
      <c r="S21" s="73">
        <f t="shared" si="0"/>
        <v>9</v>
      </c>
      <c r="T21" s="92" t="str">
        <f t="shared" si="1"/>
        <v>√</v>
      </c>
      <c r="U21" s="80" t="str">
        <f t="shared" si="2"/>
        <v xml:space="preserve"> </v>
      </c>
      <c r="V21" s="93" t="str">
        <f t="shared" si="3"/>
        <v xml:space="preserve"> </v>
      </c>
      <c r="W21" s="90"/>
      <c r="X21" s="79"/>
      <c r="Y21" s="76"/>
      <c r="Z21" s="3"/>
    </row>
    <row r="22" spans="2:26" ht="60" customHeight="1" thickBot="1" x14ac:dyDescent="0.3">
      <c r="B22" s="220" t="s">
        <v>148</v>
      </c>
      <c r="C22" s="25" t="s">
        <v>153</v>
      </c>
      <c r="D22" s="19"/>
      <c r="E22" s="9"/>
      <c r="F22" s="9">
        <v>3</v>
      </c>
      <c r="G22" s="33"/>
      <c r="H22" s="25" t="s">
        <v>81</v>
      </c>
      <c r="I22" s="32"/>
      <c r="J22" s="8">
        <v>2</v>
      </c>
      <c r="K22" s="8"/>
      <c r="L22" s="33"/>
      <c r="M22" s="43" t="s">
        <v>155</v>
      </c>
      <c r="N22" s="32">
        <v>1</v>
      </c>
      <c r="O22" s="40"/>
      <c r="P22" s="40"/>
      <c r="Q22" s="128"/>
      <c r="R22" s="133" t="s">
        <v>35</v>
      </c>
      <c r="S22" s="71">
        <f t="shared" si="0"/>
        <v>6</v>
      </c>
      <c r="T22" s="92" t="str">
        <f t="shared" si="1"/>
        <v xml:space="preserve"> </v>
      </c>
      <c r="U22" s="80" t="str">
        <f t="shared" si="2"/>
        <v>√</v>
      </c>
      <c r="V22" s="93" t="str">
        <f t="shared" si="3"/>
        <v xml:space="preserve"> </v>
      </c>
      <c r="W22" s="136" t="s">
        <v>163</v>
      </c>
      <c r="X22" s="138" t="s">
        <v>168</v>
      </c>
      <c r="Y22" s="135" t="s">
        <v>162</v>
      </c>
      <c r="Z22" s="3"/>
    </row>
    <row r="23" spans="2:26" ht="60" customHeight="1" thickBot="1" x14ac:dyDescent="0.3">
      <c r="B23" s="221"/>
      <c r="C23" s="27" t="s">
        <v>14</v>
      </c>
      <c r="D23" s="21"/>
      <c r="E23" s="22"/>
      <c r="F23" s="22"/>
      <c r="G23" s="132">
        <v>4</v>
      </c>
      <c r="H23" s="27" t="s">
        <v>154</v>
      </c>
      <c r="I23" s="34"/>
      <c r="J23" s="6">
        <v>2</v>
      </c>
      <c r="K23" s="6"/>
      <c r="L23" s="35"/>
      <c r="M23" s="43" t="s">
        <v>155</v>
      </c>
      <c r="N23" s="129">
        <v>1</v>
      </c>
      <c r="O23" s="130"/>
      <c r="P23" s="130"/>
      <c r="Q23" s="131"/>
      <c r="R23" s="134" t="s">
        <v>161</v>
      </c>
      <c r="S23" s="72">
        <f t="shared" si="0"/>
        <v>7</v>
      </c>
      <c r="T23" s="92" t="str">
        <f t="shared" si="1"/>
        <v>√</v>
      </c>
      <c r="U23" s="80" t="str">
        <f t="shared" si="2"/>
        <v xml:space="preserve"> </v>
      </c>
      <c r="V23" s="93" t="str">
        <f t="shared" si="3"/>
        <v xml:space="preserve"> </v>
      </c>
      <c r="W23" s="139"/>
      <c r="X23" s="86"/>
      <c r="Y23" s="140"/>
      <c r="Z23" s="3"/>
    </row>
    <row r="24" spans="2:26" ht="50.25" customHeight="1" thickBot="1" x14ac:dyDescent="0.3">
      <c r="B24" s="222"/>
      <c r="C24" s="24"/>
      <c r="D24" s="16"/>
      <c r="E24" s="17"/>
      <c r="F24" s="17"/>
      <c r="G24" s="18"/>
      <c r="H24" s="24"/>
      <c r="I24" s="16"/>
      <c r="J24" s="17"/>
      <c r="K24" s="17"/>
      <c r="L24" s="18"/>
      <c r="M24" s="45"/>
      <c r="N24" s="16"/>
      <c r="O24" s="31"/>
      <c r="P24" s="31"/>
      <c r="Q24" s="52"/>
      <c r="R24" s="45"/>
      <c r="S24" s="73">
        <f t="shared" si="0"/>
        <v>0</v>
      </c>
      <c r="T24" s="92" t="str">
        <f t="shared" si="1"/>
        <v xml:space="preserve"> </v>
      </c>
      <c r="U24" s="80" t="str">
        <f t="shared" si="2"/>
        <v xml:space="preserve"> </v>
      </c>
      <c r="V24" s="93" t="str">
        <f t="shared" si="3"/>
        <v>√</v>
      </c>
      <c r="W24" s="90"/>
      <c r="X24" s="79"/>
      <c r="Y24" s="76"/>
      <c r="Z24" s="3"/>
    </row>
    <row r="25" spans="2:26" ht="48.75" customHeight="1" thickBot="1" x14ac:dyDescent="0.3">
      <c r="B25" s="221" t="s">
        <v>36</v>
      </c>
      <c r="C25" s="28"/>
      <c r="D25" s="14"/>
      <c r="E25" s="7"/>
      <c r="F25" s="7"/>
      <c r="G25" s="20"/>
      <c r="H25" s="28"/>
      <c r="I25" s="14"/>
      <c r="J25" s="7"/>
      <c r="K25" s="7"/>
      <c r="L25" s="20"/>
      <c r="M25" s="48"/>
      <c r="N25" s="38"/>
      <c r="O25" s="55"/>
      <c r="P25" s="55"/>
      <c r="Q25" s="49"/>
      <c r="R25" s="47"/>
      <c r="S25" s="71">
        <f t="shared" si="0"/>
        <v>0</v>
      </c>
      <c r="T25" s="92" t="str">
        <f t="shared" si="1"/>
        <v xml:space="preserve"> </v>
      </c>
      <c r="U25" s="80" t="str">
        <f t="shared" si="2"/>
        <v xml:space="preserve"> </v>
      </c>
      <c r="V25" s="93" t="str">
        <f t="shared" si="3"/>
        <v>√</v>
      </c>
      <c r="W25" s="91"/>
      <c r="X25" s="77"/>
      <c r="Y25" s="74"/>
      <c r="Z25" s="3"/>
    </row>
    <row r="26" spans="2:26" ht="45.75" thickBot="1" x14ac:dyDescent="0.3">
      <c r="B26" s="221"/>
      <c r="C26" s="26" t="s">
        <v>37</v>
      </c>
      <c r="D26" s="12"/>
      <c r="E26" s="4"/>
      <c r="F26" s="4"/>
      <c r="G26" s="35">
        <v>4</v>
      </c>
      <c r="H26" s="26" t="s">
        <v>40</v>
      </c>
      <c r="I26" s="12"/>
      <c r="J26" s="4"/>
      <c r="K26" s="4">
        <v>3</v>
      </c>
      <c r="L26" s="11"/>
      <c r="M26" s="46" t="s">
        <v>43</v>
      </c>
      <c r="N26" s="34"/>
      <c r="O26" s="41"/>
      <c r="P26" s="41">
        <v>3</v>
      </c>
      <c r="Q26" s="53"/>
      <c r="R26" s="44" t="s">
        <v>45</v>
      </c>
      <c r="S26" s="72">
        <f t="shared" si="0"/>
        <v>10</v>
      </c>
      <c r="T26" s="92" t="str">
        <f t="shared" si="1"/>
        <v>√</v>
      </c>
      <c r="U26" s="80" t="str">
        <f t="shared" si="2"/>
        <v xml:space="preserve"> </v>
      </c>
      <c r="V26" s="93" t="str">
        <f t="shared" si="3"/>
        <v xml:space="preserve"> </v>
      </c>
      <c r="W26" s="89"/>
      <c r="X26" s="78"/>
      <c r="Y26" s="75"/>
      <c r="Z26" s="3"/>
    </row>
    <row r="27" spans="2:26" ht="45.75" thickBot="1" x14ac:dyDescent="0.3">
      <c r="B27" s="221"/>
      <c r="C27" s="26" t="s">
        <v>38</v>
      </c>
      <c r="D27" s="12"/>
      <c r="E27" s="4"/>
      <c r="F27" s="6">
        <v>3</v>
      </c>
      <c r="G27" s="11"/>
      <c r="H27" s="26" t="s">
        <v>41</v>
      </c>
      <c r="I27" s="12"/>
      <c r="J27" s="6">
        <v>2</v>
      </c>
      <c r="K27" s="4"/>
      <c r="L27" s="11"/>
      <c r="M27" s="46" t="s">
        <v>44</v>
      </c>
      <c r="N27" s="34"/>
      <c r="O27" s="41"/>
      <c r="P27" s="41">
        <v>3</v>
      </c>
      <c r="Q27" s="53"/>
      <c r="R27" s="44"/>
      <c r="S27" s="72">
        <f t="shared" si="0"/>
        <v>8</v>
      </c>
      <c r="T27" s="92" t="str">
        <f t="shared" si="1"/>
        <v>√</v>
      </c>
      <c r="U27" s="80" t="str">
        <f t="shared" si="2"/>
        <v xml:space="preserve"> </v>
      </c>
      <c r="V27" s="93" t="str">
        <f t="shared" si="3"/>
        <v xml:space="preserve"> </v>
      </c>
      <c r="W27" s="89"/>
      <c r="X27" s="78"/>
      <c r="Y27" s="75"/>
      <c r="Z27" s="3"/>
    </row>
    <row r="28" spans="2:26" ht="30.75" thickBot="1" x14ac:dyDescent="0.3">
      <c r="B28" s="221"/>
      <c r="C28" s="57" t="s">
        <v>151</v>
      </c>
      <c r="D28" s="58"/>
      <c r="E28" s="63">
        <v>2</v>
      </c>
      <c r="F28" s="63"/>
      <c r="G28" s="60"/>
      <c r="H28" s="67" t="s">
        <v>149</v>
      </c>
      <c r="I28" s="68"/>
      <c r="J28" s="63">
        <v>2</v>
      </c>
      <c r="K28" s="69"/>
      <c r="L28" s="70"/>
      <c r="M28" s="121" t="s">
        <v>42</v>
      </c>
      <c r="N28" s="62"/>
      <c r="O28" s="65">
        <v>2</v>
      </c>
      <c r="P28" s="65"/>
      <c r="Q28" s="66"/>
      <c r="R28" s="61" t="s">
        <v>150</v>
      </c>
      <c r="S28" s="72">
        <f t="shared" si="0"/>
        <v>6</v>
      </c>
      <c r="T28" s="92" t="str">
        <f t="shared" si="1"/>
        <v xml:space="preserve"> </v>
      </c>
      <c r="U28" s="137" t="str">
        <f t="shared" si="2"/>
        <v>√</v>
      </c>
      <c r="V28" s="93" t="str">
        <f t="shared" si="3"/>
        <v xml:space="preserve"> </v>
      </c>
      <c r="W28" s="98"/>
      <c r="X28" s="97"/>
      <c r="Y28" s="122"/>
      <c r="Z28" s="3"/>
    </row>
    <row r="29" spans="2:26" ht="30.75" thickBot="1" x14ac:dyDescent="0.3">
      <c r="B29" s="221"/>
      <c r="C29" s="57" t="s">
        <v>39</v>
      </c>
      <c r="D29" s="58"/>
      <c r="E29" s="59"/>
      <c r="F29" s="59"/>
      <c r="G29" s="64">
        <v>4</v>
      </c>
      <c r="H29" s="67" t="s">
        <v>152</v>
      </c>
      <c r="I29" s="68"/>
      <c r="J29" s="69"/>
      <c r="K29" s="63">
        <v>3</v>
      </c>
      <c r="L29" s="70"/>
      <c r="M29" s="121" t="s">
        <v>42</v>
      </c>
      <c r="N29" s="62"/>
      <c r="O29" s="65"/>
      <c r="P29" s="65">
        <v>3</v>
      </c>
      <c r="Q29" s="66"/>
      <c r="R29" s="61"/>
      <c r="S29" s="73">
        <f t="shared" si="0"/>
        <v>10</v>
      </c>
      <c r="T29" s="92" t="str">
        <f t="shared" si="1"/>
        <v>√</v>
      </c>
      <c r="U29" s="80" t="str">
        <f t="shared" si="2"/>
        <v xml:space="preserve"> </v>
      </c>
      <c r="V29" s="93" t="str">
        <f t="shared" si="3"/>
        <v xml:space="preserve"> </v>
      </c>
      <c r="W29" s="90"/>
      <c r="X29" s="79"/>
      <c r="Y29" s="76"/>
      <c r="Z29" s="3"/>
    </row>
    <row r="30" spans="2:26" ht="29.25" customHeight="1" thickBot="1" x14ac:dyDescent="0.3">
      <c r="B30" s="220" t="s">
        <v>46</v>
      </c>
      <c r="C30" s="25"/>
      <c r="D30" s="32"/>
      <c r="E30" s="8"/>
      <c r="F30" s="8"/>
      <c r="G30" s="33"/>
      <c r="H30" s="25"/>
      <c r="I30" s="19"/>
      <c r="J30" s="9"/>
      <c r="K30" s="9"/>
      <c r="L30" s="10"/>
      <c r="M30" s="43"/>
      <c r="N30" s="19"/>
      <c r="O30" s="29"/>
      <c r="P30" s="29"/>
      <c r="Q30" s="50"/>
      <c r="R30" s="43"/>
      <c r="S30" s="71">
        <f t="shared" si="0"/>
        <v>0</v>
      </c>
      <c r="T30" s="92" t="str">
        <f t="shared" si="1"/>
        <v xml:space="preserve"> </v>
      </c>
      <c r="U30" s="80" t="str">
        <f t="shared" si="2"/>
        <v xml:space="preserve"> </v>
      </c>
      <c r="V30" s="93" t="str">
        <f t="shared" si="3"/>
        <v>√</v>
      </c>
      <c r="W30" s="91"/>
      <c r="X30" s="77"/>
      <c r="Y30" s="74"/>
      <c r="Z30" s="3"/>
    </row>
    <row r="31" spans="2:26" ht="24" thickBot="1" x14ac:dyDescent="0.3">
      <c r="B31" s="222"/>
      <c r="C31" s="24"/>
      <c r="D31" s="36"/>
      <c r="E31" s="13"/>
      <c r="F31" s="13"/>
      <c r="G31" s="37"/>
      <c r="H31" s="24"/>
      <c r="I31" s="16"/>
      <c r="J31" s="17"/>
      <c r="K31" s="17"/>
      <c r="L31" s="18"/>
      <c r="M31" s="45"/>
      <c r="N31" s="16"/>
      <c r="O31" s="31"/>
      <c r="P31" s="31"/>
      <c r="Q31" s="52"/>
      <c r="R31" s="45"/>
      <c r="S31" s="73">
        <f t="shared" si="0"/>
        <v>0</v>
      </c>
      <c r="T31" s="92" t="str">
        <f t="shared" si="1"/>
        <v xml:space="preserve"> </v>
      </c>
      <c r="U31" s="80" t="str">
        <f t="shared" si="2"/>
        <v xml:space="preserve"> </v>
      </c>
      <c r="V31" s="93" t="str">
        <f t="shared" si="3"/>
        <v>√</v>
      </c>
      <c r="W31" s="90"/>
      <c r="X31" s="79"/>
      <c r="Y31" s="76"/>
      <c r="Z31" s="3"/>
    </row>
    <row r="32" spans="2:26" ht="29.25" customHeight="1" thickBot="1" x14ac:dyDescent="0.3">
      <c r="B32" s="220" t="s">
        <v>47</v>
      </c>
      <c r="C32" s="25" t="s">
        <v>48</v>
      </c>
      <c r="D32" s="19"/>
      <c r="E32" s="9"/>
      <c r="F32" s="9">
        <v>3</v>
      </c>
      <c r="G32" s="10"/>
      <c r="H32" s="25" t="s">
        <v>49</v>
      </c>
      <c r="I32" s="19"/>
      <c r="J32" s="9"/>
      <c r="K32" s="9">
        <v>3</v>
      </c>
      <c r="L32" s="10"/>
      <c r="M32" s="43" t="s">
        <v>166</v>
      </c>
      <c r="N32" s="19"/>
      <c r="O32" s="29"/>
      <c r="P32" s="29">
        <v>3</v>
      </c>
      <c r="Q32" s="50"/>
      <c r="R32" s="43"/>
      <c r="S32" s="71">
        <f t="shared" si="0"/>
        <v>9</v>
      </c>
      <c r="T32" s="92" t="str">
        <f t="shared" si="1"/>
        <v>√</v>
      </c>
      <c r="U32" s="80" t="str">
        <f t="shared" si="2"/>
        <v xml:space="preserve"> </v>
      </c>
      <c r="V32" s="93" t="str">
        <f t="shared" si="3"/>
        <v xml:space="preserve"> </v>
      </c>
      <c r="W32" s="91"/>
      <c r="X32" s="77"/>
      <c r="Y32" s="74"/>
      <c r="Z32" s="3"/>
    </row>
    <row r="33" spans="2:26" ht="24" thickBot="1" x14ac:dyDescent="0.3">
      <c r="B33" s="221"/>
      <c r="C33" s="26"/>
      <c r="D33" s="12"/>
      <c r="E33" s="4"/>
      <c r="F33" s="4"/>
      <c r="G33" s="11"/>
      <c r="H33" s="26"/>
      <c r="I33" s="12"/>
      <c r="J33" s="4"/>
      <c r="K33" s="4"/>
      <c r="L33" s="11"/>
      <c r="M33" s="44"/>
      <c r="N33" s="12"/>
      <c r="O33" s="30"/>
      <c r="P33" s="30"/>
      <c r="Q33" s="51"/>
      <c r="R33" s="44"/>
      <c r="S33" s="72">
        <f t="shared" si="0"/>
        <v>0</v>
      </c>
      <c r="T33" s="92" t="str">
        <f t="shared" si="1"/>
        <v xml:space="preserve"> </v>
      </c>
      <c r="U33" s="80" t="str">
        <f t="shared" si="2"/>
        <v xml:space="preserve"> </v>
      </c>
      <c r="V33" s="93" t="str">
        <f t="shared" si="3"/>
        <v>√</v>
      </c>
      <c r="W33" s="89"/>
      <c r="X33" s="78"/>
      <c r="Y33" s="75"/>
      <c r="Z33" s="3"/>
    </row>
    <row r="34" spans="2:26" ht="30.75" thickBot="1" x14ac:dyDescent="0.3">
      <c r="B34" s="220" t="s">
        <v>50</v>
      </c>
      <c r="C34" s="25" t="s">
        <v>51</v>
      </c>
      <c r="D34" s="32"/>
      <c r="E34" s="8"/>
      <c r="F34" s="8">
        <v>3</v>
      </c>
      <c r="G34" s="33"/>
      <c r="H34" s="25" t="s">
        <v>52</v>
      </c>
      <c r="I34" s="19"/>
      <c r="J34" s="9"/>
      <c r="K34" s="9">
        <v>3</v>
      </c>
      <c r="L34" s="10"/>
      <c r="M34" s="43" t="s">
        <v>53</v>
      </c>
      <c r="N34" s="19"/>
      <c r="O34" s="29"/>
      <c r="P34" s="29">
        <v>3</v>
      </c>
      <c r="Q34" s="50"/>
      <c r="R34" s="43"/>
      <c r="S34" s="71">
        <f t="shared" si="0"/>
        <v>9</v>
      </c>
      <c r="T34" s="92" t="str">
        <f t="shared" si="1"/>
        <v>√</v>
      </c>
      <c r="U34" s="80" t="str">
        <f t="shared" si="2"/>
        <v xml:space="preserve"> </v>
      </c>
      <c r="V34" s="93" t="str">
        <f t="shared" si="3"/>
        <v xml:space="preserve"> </v>
      </c>
      <c r="W34" s="91"/>
      <c r="X34" s="77"/>
      <c r="Y34" s="74"/>
      <c r="Z34" s="3"/>
    </row>
    <row r="35" spans="2:26" ht="28.5" customHeight="1" thickBot="1" x14ac:dyDescent="0.3">
      <c r="B35" s="222"/>
      <c r="C35" s="24" t="s">
        <v>165</v>
      </c>
      <c r="D35" s="36"/>
      <c r="E35" s="13"/>
      <c r="F35" s="13">
        <v>3</v>
      </c>
      <c r="G35" s="37"/>
      <c r="H35" s="141" t="s">
        <v>52</v>
      </c>
      <c r="I35" s="16"/>
      <c r="J35" s="17"/>
      <c r="K35" s="17">
        <v>3</v>
      </c>
      <c r="L35" s="18"/>
      <c r="M35" s="45" t="s">
        <v>164</v>
      </c>
      <c r="N35" s="16"/>
      <c r="O35" s="31">
        <v>1</v>
      </c>
      <c r="P35" s="31"/>
      <c r="Q35" s="52"/>
      <c r="R35" s="45"/>
      <c r="S35" s="73">
        <f t="shared" si="0"/>
        <v>7</v>
      </c>
      <c r="T35" s="94" t="str">
        <f t="shared" si="1"/>
        <v>√</v>
      </c>
      <c r="U35" s="95" t="str">
        <f t="shared" si="2"/>
        <v xml:space="preserve"> </v>
      </c>
      <c r="V35" s="96" t="str">
        <f t="shared" si="3"/>
        <v xml:space="preserve"> </v>
      </c>
      <c r="W35" s="90"/>
      <c r="X35" s="79"/>
      <c r="Y35" s="76"/>
      <c r="Z35" s="3"/>
    </row>
    <row r="36" spans="2:26" x14ac:dyDescent="0.25">
      <c r="X36" s="3"/>
      <c r="Y36" s="3"/>
      <c r="Z36" s="3"/>
    </row>
    <row r="37" spans="2:26" x14ac:dyDescent="0.25">
      <c r="X37" s="3"/>
      <c r="Y37" s="3"/>
      <c r="Z37" s="3"/>
    </row>
    <row r="38" spans="2:26" x14ac:dyDescent="0.25">
      <c r="X38" s="3"/>
      <c r="Y38" s="3"/>
      <c r="Z38" s="3"/>
    </row>
    <row r="39" spans="2:26" x14ac:dyDescent="0.25">
      <c r="X39" s="3"/>
      <c r="Y39" s="3"/>
      <c r="Z39" s="3"/>
    </row>
    <row r="49" spans="3:5" x14ac:dyDescent="0.25">
      <c r="C49" s="226" t="s">
        <v>4</v>
      </c>
      <c r="D49" s="226"/>
      <c r="E49" s="226"/>
    </row>
    <row r="50" spans="3:5" x14ac:dyDescent="0.25">
      <c r="C50" s="2" t="s">
        <v>5</v>
      </c>
      <c r="D50" s="2" t="s">
        <v>7</v>
      </c>
      <c r="E50" s="2" t="s">
        <v>6</v>
      </c>
    </row>
    <row r="51" spans="3:5" x14ac:dyDescent="0.25">
      <c r="C51" s="1" t="s">
        <v>85</v>
      </c>
      <c r="D51" s="104" t="s">
        <v>116</v>
      </c>
      <c r="E51" s="103" t="s">
        <v>115</v>
      </c>
    </row>
    <row r="52" spans="3:5" x14ac:dyDescent="0.25">
      <c r="C52" s="1" t="s">
        <v>86</v>
      </c>
      <c r="D52" s="104" t="s">
        <v>117</v>
      </c>
      <c r="E52" s="103" t="s">
        <v>103</v>
      </c>
    </row>
    <row r="53" spans="3:5" x14ac:dyDescent="0.25">
      <c r="C53" s="1" t="s">
        <v>87</v>
      </c>
      <c r="D53" s="104" t="s">
        <v>118</v>
      </c>
      <c r="E53" s="103" t="s">
        <v>104</v>
      </c>
    </row>
    <row r="54" spans="3:5" x14ac:dyDescent="0.25">
      <c r="C54" s="1" t="s">
        <v>88</v>
      </c>
      <c r="D54" s="104" t="s">
        <v>119</v>
      </c>
      <c r="E54" s="103" t="s">
        <v>104</v>
      </c>
    </row>
    <row r="55" spans="3:5" x14ac:dyDescent="0.25">
      <c r="C55" s="1" t="s">
        <v>89</v>
      </c>
      <c r="D55" s="104" t="s">
        <v>132</v>
      </c>
      <c r="E55" s="103" t="s">
        <v>105</v>
      </c>
    </row>
    <row r="56" spans="3:5" x14ac:dyDescent="0.25">
      <c r="C56" s="1" t="s">
        <v>90</v>
      </c>
      <c r="D56" s="104" t="s">
        <v>120</v>
      </c>
      <c r="E56" s="103" t="s">
        <v>106</v>
      </c>
    </row>
    <row r="57" spans="3:5" x14ac:dyDescent="0.25">
      <c r="C57" s="1" t="s">
        <v>91</v>
      </c>
      <c r="D57" s="104" t="s">
        <v>121</v>
      </c>
      <c r="E57" s="103" t="s">
        <v>107</v>
      </c>
    </row>
    <row r="58" spans="3:5" x14ac:dyDescent="0.25">
      <c r="C58" s="1" t="s">
        <v>92</v>
      </c>
      <c r="D58" s="104" t="s">
        <v>122</v>
      </c>
      <c r="E58" s="103" t="s">
        <v>108</v>
      </c>
    </row>
    <row r="59" spans="3:5" x14ac:dyDescent="0.25">
      <c r="C59" s="1" t="s">
        <v>93</v>
      </c>
      <c r="D59" s="104" t="s">
        <v>123</v>
      </c>
      <c r="E59" s="103" t="s">
        <v>109</v>
      </c>
    </row>
    <row r="60" spans="3:5" x14ac:dyDescent="0.25">
      <c r="C60" s="1" t="s">
        <v>94</v>
      </c>
      <c r="D60" s="104" t="s">
        <v>124</v>
      </c>
      <c r="E60" s="103" t="s">
        <v>110</v>
      </c>
    </row>
    <row r="61" spans="3:5" x14ac:dyDescent="0.25">
      <c r="C61" s="1" t="s">
        <v>95</v>
      </c>
      <c r="D61" s="104" t="s">
        <v>125</v>
      </c>
      <c r="E61" s="103" t="s">
        <v>110</v>
      </c>
    </row>
    <row r="62" spans="3:5" x14ac:dyDescent="0.25">
      <c r="C62" s="1" t="s">
        <v>96</v>
      </c>
      <c r="D62" s="104" t="s">
        <v>126</v>
      </c>
      <c r="E62" s="103" t="s">
        <v>111</v>
      </c>
    </row>
    <row r="63" spans="3:5" x14ac:dyDescent="0.25">
      <c r="C63" s="1" t="s">
        <v>97</v>
      </c>
      <c r="D63" s="104" t="s">
        <v>127</v>
      </c>
      <c r="E63" s="103" t="s">
        <v>111</v>
      </c>
    </row>
    <row r="64" spans="3:5" x14ac:dyDescent="0.25">
      <c r="C64" s="1" t="s">
        <v>98</v>
      </c>
      <c r="D64" s="104" t="s">
        <v>128</v>
      </c>
      <c r="E64" s="103" t="s">
        <v>112</v>
      </c>
    </row>
    <row r="65" spans="3:5" x14ac:dyDescent="0.25">
      <c r="C65" s="1" t="s">
        <v>99</v>
      </c>
      <c r="D65" s="104" t="s">
        <v>131</v>
      </c>
      <c r="E65" s="103" t="s">
        <v>112</v>
      </c>
    </row>
    <row r="66" spans="3:5" x14ac:dyDescent="0.25">
      <c r="C66" s="1" t="s">
        <v>100</v>
      </c>
      <c r="D66" s="104" t="s">
        <v>129</v>
      </c>
      <c r="E66" s="103" t="s">
        <v>112</v>
      </c>
    </row>
    <row r="67" spans="3:5" x14ac:dyDescent="0.25">
      <c r="C67" s="1" t="s">
        <v>101</v>
      </c>
      <c r="D67" s="104" t="s">
        <v>130</v>
      </c>
      <c r="E67" s="103" t="s">
        <v>113</v>
      </c>
    </row>
    <row r="68" spans="3:5" x14ac:dyDescent="0.25">
      <c r="C68" s="1" t="s">
        <v>102</v>
      </c>
      <c r="D68" s="104" t="s">
        <v>137</v>
      </c>
      <c r="E68" s="103" t="s">
        <v>114</v>
      </c>
    </row>
    <row r="69" spans="3:5" x14ac:dyDescent="0.25">
      <c r="C69" s="3"/>
      <c r="D69" s="123"/>
      <c r="E69" s="124"/>
    </row>
  </sheetData>
  <mergeCells count="50">
    <mergeCell ref="M19:M21"/>
    <mergeCell ref="R19:R21"/>
    <mergeCell ref="B13:B16"/>
    <mergeCell ref="B17:B18"/>
    <mergeCell ref="C13:C14"/>
    <mergeCell ref="H13:H14"/>
    <mergeCell ref="C49:E49"/>
    <mergeCell ref="B34:B35"/>
    <mergeCell ref="B32:B33"/>
    <mergeCell ref="B25:B29"/>
    <mergeCell ref="B30:B31"/>
    <mergeCell ref="B22:B24"/>
    <mergeCell ref="B19:B21"/>
    <mergeCell ref="H19:H21"/>
    <mergeCell ref="D10:D11"/>
    <mergeCell ref="B10:B11"/>
    <mergeCell ref="C10:C11"/>
    <mergeCell ref="H10:H11"/>
    <mergeCell ref="D9:G9"/>
    <mergeCell ref="E10:E11"/>
    <mergeCell ref="G10:G11"/>
    <mergeCell ref="F10:F11"/>
    <mergeCell ref="I9:L9"/>
    <mergeCell ref="K10:K11"/>
    <mergeCell ref="L10:L11"/>
    <mergeCell ref="M10:M11"/>
    <mergeCell ref="I10:I11"/>
    <mergeCell ref="J10:J11"/>
    <mergeCell ref="X10:X11"/>
    <mergeCell ref="Y10:Y11"/>
    <mergeCell ref="N9:Q9"/>
    <mergeCell ref="W10:W11"/>
    <mergeCell ref="T10:T11"/>
    <mergeCell ref="U10:U11"/>
    <mergeCell ref="V10:V11"/>
    <mergeCell ref="T9:V9"/>
    <mergeCell ref="S10:S11"/>
    <mergeCell ref="R10:R11"/>
    <mergeCell ref="N10:N11"/>
    <mergeCell ref="O10:O11"/>
    <mergeCell ref="P10:P11"/>
    <mergeCell ref="Q10:Q11"/>
    <mergeCell ref="H4:L4"/>
    <mergeCell ref="H5:L5"/>
    <mergeCell ref="B3:C3"/>
    <mergeCell ref="A4:A5"/>
    <mergeCell ref="B2:S2"/>
    <mergeCell ref="D3:S3"/>
    <mergeCell ref="D4:G4"/>
    <mergeCell ref="D5:G5"/>
  </mergeCells>
  <pageMargins left="0.7" right="0.7" top="0.75" bottom="0.75" header="0.3" footer="0.3"/>
  <pageSetup scale="3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2:G17"/>
  <sheetViews>
    <sheetView workbookViewId="0"/>
  </sheetViews>
  <sheetFormatPr baseColWidth="10" defaultRowHeight="15" x14ac:dyDescent="0.25"/>
  <cols>
    <col min="2" max="2" width="18.140625" customWidth="1"/>
    <col min="3" max="3" width="22.140625" customWidth="1"/>
    <col min="4" max="4" width="31.42578125" customWidth="1"/>
    <col min="5" max="5" width="20.5703125" customWidth="1"/>
    <col min="6" max="6" width="25" customWidth="1"/>
    <col min="7" max="7" width="18.140625" customWidth="1"/>
  </cols>
  <sheetData>
    <row r="2" spans="1:7" ht="15.75" x14ac:dyDescent="0.25">
      <c r="B2" s="233" t="s">
        <v>72</v>
      </c>
      <c r="C2" s="234"/>
      <c r="D2" s="235"/>
    </row>
    <row r="3" spans="1:7" ht="11.25" customHeight="1" x14ac:dyDescent="0.25">
      <c r="B3" s="81" t="s">
        <v>64</v>
      </c>
      <c r="C3" s="81" t="s">
        <v>65</v>
      </c>
      <c r="D3" s="85"/>
    </row>
    <row r="4" spans="1:7" ht="15" customHeight="1" x14ac:dyDescent="0.25">
      <c r="B4" s="83">
        <v>1</v>
      </c>
      <c r="C4" s="84" t="s">
        <v>66</v>
      </c>
      <c r="D4" s="82" t="s">
        <v>67</v>
      </c>
    </row>
    <row r="5" spans="1:7" ht="15.75" customHeight="1" x14ac:dyDescent="0.25">
      <c r="B5" s="83">
        <v>2</v>
      </c>
      <c r="C5" s="84" t="s">
        <v>68</v>
      </c>
      <c r="D5" s="82" t="s">
        <v>73</v>
      </c>
    </row>
    <row r="6" spans="1:7" ht="15" customHeight="1" x14ac:dyDescent="0.25">
      <c r="B6" s="83">
        <v>3</v>
      </c>
      <c r="C6" s="84" t="s">
        <v>74</v>
      </c>
      <c r="D6" s="82" t="s">
        <v>69</v>
      </c>
    </row>
    <row r="7" spans="1:7" ht="15.75" customHeight="1" x14ac:dyDescent="0.25">
      <c r="B7" s="83">
        <v>4</v>
      </c>
      <c r="C7" s="84" t="s">
        <v>70</v>
      </c>
      <c r="D7" s="82" t="s">
        <v>71</v>
      </c>
    </row>
    <row r="8" spans="1:7" ht="15" customHeight="1" thickBot="1" x14ac:dyDescent="0.3"/>
    <row r="9" spans="1:7" ht="80.25" customHeight="1" thickBot="1" x14ac:dyDescent="0.3">
      <c r="A9" s="87" t="s">
        <v>64</v>
      </c>
      <c r="B9" s="87" t="s">
        <v>65</v>
      </c>
      <c r="C9" s="87" t="s">
        <v>133</v>
      </c>
      <c r="D9" s="87" t="s">
        <v>134</v>
      </c>
      <c r="E9" s="87" t="s">
        <v>135</v>
      </c>
      <c r="F9" s="87" t="s">
        <v>75</v>
      </c>
      <c r="G9" s="87" t="s">
        <v>76</v>
      </c>
    </row>
    <row r="10" spans="1:7" ht="15" customHeight="1" x14ac:dyDescent="0.25">
      <c r="A10" s="99">
        <v>1</v>
      </c>
      <c r="B10" s="183" t="s">
        <v>77</v>
      </c>
      <c r="C10" s="101"/>
      <c r="D10" s="101"/>
      <c r="E10" s="185"/>
      <c r="F10" s="185"/>
      <c r="G10" s="185"/>
    </row>
    <row r="11" spans="1:7" ht="57" customHeight="1" thickBot="1" x14ac:dyDescent="0.3">
      <c r="A11" s="100"/>
      <c r="B11" s="184"/>
      <c r="C11" s="88"/>
      <c r="D11" s="102"/>
      <c r="E11" s="186"/>
      <c r="F11" s="186"/>
      <c r="G11" s="186"/>
    </row>
    <row r="12" spans="1:7" ht="15" customHeight="1" x14ac:dyDescent="0.25">
      <c r="A12" s="99">
        <v>2</v>
      </c>
      <c r="B12" s="183" t="s">
        <v>78</v>
      </c>
      <c r="C12" s="101"/>
      <c r="D12" s="101"/>
      <c r="E12" s="185"/>
      <c r="F12" s="185"/>
      <c r="G12" s="185"/>
    </row>
    <row r="13" spans="1:7" ht="48.75" customHeight="1" thickBot="1" x14ac:dyDescent="0.3">
      <c r="A13" s="100"/>
      <c r="B13" s="184"/>
      <c r="C13" s="88"/>
      <c r="D13" s="102"/>
      <c r="E13" s="186"/>
      <c r="F13" s="186"/>
      <c r="G13" s="186"/>
    </row>
    <row r="14" spans="1:7" ht="48.75" customHeight="1" x14ac:dyDescent="0.25">
      <c r="A14" s="99">
        <v>3</v>
      </c>
      <c r="B14" s="183" t="s">
        <v>79</v>
      </c>
      <c r="C14" s="101"/>
      <c r="D14" s="101"/>
      <c r="E14" s="185"/>
      <c r="F14" s="185"/>
      <c r="G14" s="185"/>
    </row>
    <row r="15" spans="1:7" ht="63.75" customHeight="1" thickBot="1" x14ac:dyDescent="0.3">
      <c r="A15" s="100"/>
      <c r="B15" s="184"/>
      <c r="C15" s="102"/>
      <c r="D15" s="102"/>
      <c r="E15" s="186"/>
      <c r="F15" s="186"/>
      <c r="G15" s="186"/>
    </row>
    <row r="16" spans="1:7" ht="15" customHeight="1" x14ac:dyDescent="0.25">
      <c r="A16" s="99">
        <v>4</v>
      </c>
      <c r="B16" s="183" t="s">
        <v>80</v>
      </c>
      <c r="C16" s="101"/>
      <c r="D16" s="185"/>
      <c r="E16" s="185"/>
      <c r="F16" s="185"/>
      <c r="G16" s="185"/>
    </row>
    <row r="17" spans="1:7" ht="119.25" customHeight="1" thickBot="1" x14ac:dyDescent="0.3">
      <c r="A17" s="100"/>
      <c r="B17" s="184"/>
      <c r="C17" s="102"/>
      <c r="D17" s="186"/>
      <c r="E17" s="186"/>
      <c r="F17" s="186"/>
      <c r="G17" s="186"/>
    </row>
  </sheetData>
  <mergeCells count="18">
    <mergeCell ref="G16:G17"/>
    <mergeCell ref="B16:B17"/>
    <mergeCell ref="D16:D17"/>
    <mergeCell ref="E16:E17"/>
    <mergeCell ref="F16:F17"/>
    <mergeCell ref="G12:G13"/>
    <mergeCell ref="B14:B15"/>
    <mergeCell ref="E14:E15"/>
    <mergeCell ref="F14:F15"/>
    <mergeCell ref="G14:G15"/>
    <mergeCell ref="B12:B13"/>
    <mergeCell ref="E12:E13"/>
    <mergeCell ref="F12:F13"/>
    <mergeCell ref="B2:D2"/>
    <mergeCell ref="E10:E11"/>
    <mergeCell ref="F10:F11"/>
    <mergeCell ref="G10:G11"/>
    <mergeCell ref="B10:B11"/>
  </mergeCells>
  <pageMargins left="0.7" right="0.7" top="0.75" bottom="0.75" header="0.3" footer="0.3"/>
  <pageSetup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Formato FODA (2023)</vt:lpstr>
      <vt:lpstr>Expec y Nec de PInt</vt:lpstr>
      <vt:lpstr>Criterios</vt:lpstr>
      <vt:lpstr>'Formato FODA (2023)'!Área_de_impresión</vt:lpstr>
    </vt:vector>
  </TitlesOfParts>
  <Company>propysol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Braian Alan Bautista Hernandez</dc:creator>
  <cp:lastModifiedBy>Braian Alan bautista Hernandez</cp:lastModifiedBy>
  <cp:lastPrinted>2023-06-27T01:14:55Z</cp:lastPrinted>
  <dcterms:created xsi:type="dcterms:W3CDTF">2017-12-27T22:52:28Z</dcterms:created>
  <dcterms:modified xsi:type="dcterms:W3CDTF">2023-09-06T00:04:38Z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65993995-cd04-4e41-a09e-5986a1bdde73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